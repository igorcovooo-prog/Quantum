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90" tabRatio="500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  <sheet name="Год" sheetId="13" r:id="rId13"/>
    <sheet name="Налоги" sheetId="14" r:id="rId14"/>
  </sheets>
  <definedNames>
    <definedName name="_xlnm._FilterDatabase" localSheetId="13" hidden="1">Налоги!$A$1:$C$32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<sst xmlns="http://schemas.openxmlformats.org/spreadsheetml/2006/main" count="121" uniqueCount="59">
  <si>
    <t>ФИО</t>
  </si>
  <si>
    <t>Должность</t>
  </si>
  <si>
    <t>Оклад</t>
  </si>
  <si>
    <t>Премия</t>
  </si>
  <si>
    <t>Итого</t>
  </si>
  <si>
    <t>Иванов Алексей Петрович</t>
  </si>
  <si>
    <t>Управляющий</t>
  </si>
  <si>
    <t>Смирнова Елена Викторовна</t>
  </si>
  <si>
    <t>Бариста</t>
  </si>
  <si>
    <t>Кузнецов Дмитрий Сергеевич</t>
  </si>
  <si>
    <t>Кассир</t>
  </si>
  <si>
    <t>Попова Анна Игоревна</t>
  </si>
  <si>
    <t>Кондитер</t>
  </si>
  <si>
    <t>Соколов Максим Андреевич</t>
  </si>
  <si>
    <t>Уборщик</t>
  </si>
  <si>
    <t>Лебедева Ольга Николаевна</t>
  </si>
  <si>
    <t>Козлов Артём Романович</t>
  </si>
  <si>
    <t>Новикова Мария Олеговна</t>
  </si>
  <si>
    <t>Морозов Илья Денисович</t>
  </si>
  <si>
    <t>Петрова Татьяна Юрьевна</t>
  </si>
  <si>
    <t>Волков Никита Александрович</t>
  </si>
  <si>
    <t>Соловьёва Дарья Павловна</t>
  </si>
  <si>
    <t>Васильев Кирилл Евгеньевич</t>
  </si>
  <si>
    <t>Зайцева Ирина Михайловна</t>
  </si>
  <si>
    <t>Павлов Егор Владимирович</t>
  </si>
  <si>
    <t>Семёнова Алина Артёмовна</t>
  </si>
  <si>
    <t>Голубев Роман Игоревич</t>
  </si>
  <si>
    <t>Виноградова Юлия Сергеевна</t>
  </si>
  <si>
    <t>Богданов Станислав Олегович</t>
  </si>
  <si>
    <t>Воробьёва Екатерина Андреевна</t>
  </si>
  <si>
    <t>Фёдоров Павел Дмитриевич</t>
  </si>
  <si>
    <t>Михайлова Светлана Ивановна</t>
  </si>
  <si>
    <t>Беляев Антон Николаевич</t>
  </si>
  <si>
    <t>Тарасова Валерия Романовна</t>
  </si>
  <si>
    <t>Белов Глеб Максимович</t>
  </si>
  <si>
    <t>Комарова Полина Алексеевна</t>
  </si>
  <si>
    <t>Орлов Владислав Станиславович</t>
  </si>
  <si>
    <t>Киселёва Надежда Петровна</t>
  </si>
  <si>
    <t>Макаров Тимур Русланович</t>
  </si>
  <si>
    <t>Андреева Вероника Дмитриевна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</si>
  <si>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</si>
  <si>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</si>
  <si>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</si>
  <si>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</si>
  <si>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</si>
  <si>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</si>
  <si>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</si>
  <si>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</si>
  <si>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</si>
  <si>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</si>
  <si>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</si>
  <si>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</si>
  <si>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 за год</t>
  </si>
  <si>
    <t>Данные для гистограммы (сотрудники №5, 10, 15, 20, 25, 30)</t>
  </si>
  <si>
    <t>Уплачено налогов (13%)</t>
  </si>
  <si>
    <t>Ставка налога</t>
  </si>
  <si>
    <t>Служебный ключ (для сортировки)</t>
  </si>
  <si>
    <t>Список всегда отсортирован от большей зарплаты к меньшей (формулы LARGE/INDEX/MATCH); фильтр включён в заголовках.</t>
  </si>
  <si>
    <t>ИТОГО по всем кофейням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</si>
</sst>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178" formatCode="#,##0.000000"/>
  </numFmts>
  <fonts count="28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4E37"/>
        <bgColor rgb="FF99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176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177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9" fontId="3" fillId="0" borderId="1" xfId="0" applyNumberFormat="1" applyFont="1" applyBorder="1"/>
    <xf numFmtId="178" fontId="4" fillId="0" borderId="1" xfId="0" applyNumberFormat="1" applyFont="1" applyBorder="1"/>
    <xf numFmtId="0" fontId="5" fillId="0" borderId="0" xfId="0" applyFont="1"/>
    <xf numFmtId="0" fontId="6" fillId="0" borderId="1" xfId="0" applyFont="1" applyBorder="1"/>
    <xf numFmtId="3" fontId="6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78787"/>
      <rgbColor rgb="009999FF"/>
      <rgbColor rgb="00C0504D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4F81BD"/>
      <rgbColor rgb="00003300"/>
      <rgbColor rgb="00333300"/>
      <rgbColor rgb="00993300"/>
      <rgbColor rgb="006F4E37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Заработок первых 5 сотрудников за сентябрь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Год!$J$1</c:f>
              <c:strCache>
                <c:ptCount val="1"/>
                <c:pt idx="0">
                  <c:v>Сентябрь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Год!$A$2:$A$6</c:f>
              <c:strCache>
                <c:ptCount val="5"/>
                <c:pt idx="0" c:formatCode="General">
                  <c:v>Иванов Алексей Петрович</c:v>
                </c:pt>
                <c:pt idx="1" c:formatCode="General">
                  <c:v>Смирнова Елена Викторовна</c:v>
                </c:pt>
                <c:pt idx="2" c:formatCode="General">
                  <c:v>Кузнецов Дмитрий Сергеевич</c:v>
                </c:pt>
                <c:pt idx="3" c:formatCode="General">
                  <c:v>Попова Анна Игоревна</c:v>
                </c:pt>
                <c:pt idx="4" c:formatCode="General">
                  <c:v>Соколов Максим Андреевич</c:v>
                </c:pt>
              </c:strCache>
            </c:strRef>
          </c:cat>
          <c:val>
            <c:numRef>
              <c:f>Год!$J$2:$J$6</c:f>
              <c:numCache>
                <c:formatCode>#,##0</c:formatCode>
                <c:ptCount val="5"/>
                <c:pt idx="0">
                  <c:v>43243</c:v>
                </c:pt>
                <c:pt idx="1">
                  <c:v>31456</c:v>
                </c:pt>
                <c:pt idx="2">
                  <c:v>62245</c:v>
                </c:pt>
                <c:pt idx="3">
                  <c:v>38835</c:v>
                </c:pt>
                <c:pt idx="4">
                  <c:v>42681</c:v>
                </c:pt>
              </c:numCache>
            </c:numRef>
          </c:val>
        </c:ser>
        <c:dLbls>
          <c:showLegendKey val="1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51108d-6627-45b0-85e1-740cdb9782e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Заработок 10-го сотрудника по месяцам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Год!$A$11</c:f>
              <c:strCache>
                <c:ptCount val="1"/>
                <c:pt idx="0">
                  <c:v>Петрова Татьяна Юрьевна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Год!$B$1:$M$1</c:f>
              <c:strCache>
                <c:ptCount val="12"/>
                <c:pt idx="0" c:formatCode="General">
                  <c:v>Январь</c:v>
                </c:pt>
                <c:pt idx="1" c:formatCode="General">
                  <c:v>Февраль</c:v>
                </c:pt>
                <c:pt idx="2" c:formatCode="General">
                  <c:v>Март</c:v>
                </c:pt>
                <c:pt idx="3" c:formatCode="General">
                  <c:v>Апрель</c:v>
                </c:pt>
                <c:pt idx="4" c:formatCode="General">
                  <c:v>Май</c:v>
                </c:pt>
                <c:pt idx="5" c:formatCode="General">
                  <c:v>Июнь</c:v>
                </c:pt>
                <c:pt idx="6" c:formatCode="General">
                  <c:v>Июль</c:v>
                </c:pt>
                <c:pt idx="7" c:formatCode="General">
                  <c:v>Август</c:v>
                </c:pt>
                <c:pt idx="8" c:formatCode="General">
                  <c:v>Сентябрь</c:v>
                </c:pt>
                <c:pt idx="9" c:formatCode="General">
                  <c:v>Октябрь</c:v>
                </c:pt>
                <c:pt idx="10" c:formatCode="General">
                  <c:v>Ноябрь</c:v>
                </c:pt>
                <c:pt idx="11" c:formatCode="General">
                  <c:v>Декабрь</c:v>
                </c:pt>
              </c:strCache>
            </c:strRef>
          </c:cat>
          <c:val>
            <c:numRef>
              <c:f>Год!$B$11:$M$11</c:f>
              <c:numCache>
                <c:formatCode>#,##0</c:formatCode>
                <c:ptCount val="12"/>
                <c:pt idx="0">
                  <c:v>38733</c:v>
                </c:pt>
                <c:pt idx="1">
                  <c:v>33561</c:v>
                </c:pt>
                <c:pt idx="2">
                  <c:v>27459</c:v>
                </c:pt>
                <c:pt idx="3">
                  <c:v>32811</c:v>
                </c:pt>
                <c:pt idx="4">
                  <c:v>31716</c:v>
                </c:pt>
                <c:pt idx="5">
                  <c:v>38910</c:v>
                </c:pt>
                <c:pt idx="6">
                  <c:v>35501</c:v>
                </c:pt>
                <c:pt idx="7">
                  <c:v>31158</c:v>
                </c:pt>
                <c:pt idx="8">
                  <c:v>33232</c:v>
                </c:pt>
                <c:pt idx="9">
                  <c:v>39877</c:v>
                </c:pt>
                <c:pt idx="10">
                  <c:v>31345</c:v>
                </c:pt>
                <c:pt idx="11">
                  <c:v>36923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5780747"/>
        <c:axId val="10287661"/>
      </c:lineChart>
      <c:catAx>
        <c:axId val="57807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Месяц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0287661"/>
        <c:crosses val="autoZero"/>
        <c:auto val="1"/>
        <c:lblAlgn val="ctr"/>
        <c:lblOffset val="100"/>
        <c:noMultiLvlLbl val="0"/>
      </c:catAx>
      <c:valAx>
        <c:axId val="102876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Руб.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780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b3a998-3853-4516-9c8f-2928cac9450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Годовой заработок сотрудников №5, 10, 15, 20, 25, 30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Год!$Q$1</c:f>
              <c:strCache>
                <c:ptCount val="1"/>
                <c:pt idx="0">
                  <c:v>Итого за год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Год!$P$2:$P$7</c:f>
              <c:strCache>
                <c:ptCount val="6"/>
                <c:pt idx="0" c:formatCode="General">
                  <c:v>Соколов Максим Андреевич</c:v>
                </c:pt>
                <c:pt idx="1" c:formatCode="General">
                  <c:v>Петрова Татьяна Юрьевна</c:v>
                </c:pt>
                <c:pt idx="2" c:formatCode="General">
                  <c:v>Павлов Егор Владимирович</c:v>
                </c:pt>
                <c:pt idx="3" c:formatCode="General">
                  <c:v>Воробьёва Екатерина Андреевна</c:v>
                </c:pt>
                <c:pt idx="4" c:formatCode="General">
                  <c:v>Белов Глеб Максимович</c:v>
                </c:pt>
                <c:pt idx="5" c:formatCode="General">
                  <c:v>Андреева Вероника Дмитриевна</c:v>
                </c:pt>
              </c:strCache>
            </c:strRef>
          </c:cat>
          <c:val>
            <c:numRef>
              <c:f>Год!$Q$2:$Q$7</c:f>
              <c:numCache>
                <c:formatCode>#,##0</c:formatCode>
                <c:ptCount val="6"/>
                <c:pt idx="0">
                  <c:v>485518</c:v>
                </c:pt>
                <c:pt idx="1">
                  <c:v>411226</c:v>
                </c:pt>
                <c:pt idx="2">
                  <c:v>367415</c:v>
                </c:pt>
                <c:pt idx="3">
                  <c:v>515052</c:v>
                </c:pt>
                <c:pt idx="4">
                  <c:v>471476</c:v>
                </c:pt>
                <c:pt idx="5">
                  <c:v>705458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2564312"/>
        <c:axId val="99612085"/>
      </c:barChart>
      <c:catAx>
        <c:axId val="225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612085"/>
        <c:crosses val="autoZero"/>
        <c:auto val="1"/>
        <c:lblAlgn val="ctr"/>
        <c:lblOffset val="100"/>
        <c:noMultiLvlLbl val="0"/>
      </c:catAx>
      <c:valAx>
        <c:axId val="9961208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Руб.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2564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027d5a3-aab9-47b4-ba4e-2f7c3bade0c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4</xdr:col>
      <xdr:colOff>825840</xdr:colOff>
      <xdr:row>50</xdr:row>
      <xdr:rowOff>185230</xdr:rowOff>
    </xdr:to>
    <xdr:graphicFrame>
      <xdr:nvGraphicFramePr>
        <xdr:cNvPr id="2" name="Chart 1"/>
        <xdr:cNvGraphicFramePr/>
      </xdr:nvGraphicFramePr>
      <xdr:xfrm>
        <a:off x="0" y="6477000"/>
        <a:ext cx="5715000" cy="3131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14</xdr:col>
      <xdr:colOff>417960</xdr:colOff>
      <xdr:row>50</xdr:row>
      <xdr:rowOff>185230</xdr:rowOff>
    </xdr:to>
    <xdr:graphicFrame>
      <xdr:nvGraphicFramePr>
        <xdr:cNvPr id="3" name="Chart 2"/>
        <xdr:cNvGraphicFramePr/>
      </xdr:nvGraphicFramePr>
      <xdr:xfrm>
        <a:off x="7404100" y="6477000"/>
        <a:ext cx="6424930" cy="3131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12</xdr:col>
      <xdr:colOff>539280</xdr:colOff>
      <xdr:row>72</xdr:row>
      <xdr:rowOff>170640</xdr:rowOff>
    </xdr:to>
    <xdr:graphicFrame>
      <xdr:nvGraphicFramePr>
        <xdr:cNvPr id="4" name="Chart 3"/>
        <xdr:cNvGraphicFramePr/>
      </xdr:nvGraphicFramePr>
      <xdr:xfrm>
        <a:off x="0" y="10160000"/>
        <a:ext cx="12134215" cy="34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58" zoomScaleNormal="58" workbookViewId="0">
      <pane ySplit="1" topLeftCell="A2" activePane="bottomLeft" state="frozen"/>
      <selection/>
      <selection pane="bottomLeft" activeCell="F14" sqref="F14"/>
    </sheetView>
  </sheetViews>
  <sheetFormatPr defaultColWidth="8.68181818181818" defaultRowHeight="14.5" outlineLevelCol="7"/>
  <cols>
    <col min="1" max="1" width="34" customWidth="1"/>
    <col min="2" max="2" width="16" customWidth="1"/>
    <col min="3" max="5" width="13" customWidth="1"/>
    <col min="7" max="7" width="16" customWidth="1"/>
    <col min="8" max="8" width="12" customWidth="1"/>
  </cols>
  <sheetData>
    <row r="1" ht="31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  <c r="H1" s="1" t="s">
        <v>2</v>
      </c>
    </row>
    <row r="2" spans="1:8">
      <c r="A2" s="11" t="s">
        <v>5</v>
      </c>
      <c r="B2" s="2" t="str">
        <f ca="1" t="shared" ref="B2:B31" si="0">INDEX($G$2:$G$6,RANDBETWEEN(1,5))</f>
        <v>Бариста</v>
      </c>
      <c r="C2" s="3">
        <f ca="1" t="shared" ref="C2:C31" si="1">SUMIF($G$2:$G$6,B2,$H$2:$H$6)</f>
        <v>35000</v>
      </c>
      <c r="D2" s="3">
        <f ca="1" t="shared" ref="D2:D31" si="2">RANDBETWEEN(1000,10000)</f>
        <v>2146</v>
      </c>
      <c r="E2" s="3">
        <f ca="1" t="shared" ref="E2:E31" si="3">C2+D2</f>
        <v>37146</v>
      </c>
      <c r="G2" s="11" t="s">
        <v>6</v>
      </c>
      <c r="H2" s="12">
        <v>55000</v>
      </c>
    </row>
    <row r="3" spans="1:8">
      <c r="A3" s="11" t="s">
        <v>7</v>
      </c>
      <c r="B3" s="2" t="str">
        <f ca="1" t="shared" si="0"/>
        <v>Уборщик</v>
      </c>
      <c r="C3" s="3">
        <f ca="1" t="shared" si="1"/>
        <v>25000</v>
      </c>
      <c r="D3" s="3">
        <f ca="1" t="shared" si="2"/>
        <v>9966</v>
      </c>
      <c r="E3" s="3">
        <f ca="1" t="shared" si="3"/>
        <v>34966</v>
      </c>
      <c r="G3" s="11" t="s">
        <v>8</v>
      </c>
      <c r="H3" s="12">
        <v>35000</v>
      </c>
    </row>
    <row r="4" spans="1:8">
      <c r="A4" s="11" t="s">
        <v>9</v>
      </c>
      <c r="B4" s="2" t="str">
        <f ca="1" t="shared" si="0"/>
        <v>Управляющий</v>
      </c>
      <c r="C4" s="3">
        <f ca="1" t="shared" si="1"/>
        <v>55000</v>
      </c>
      <c r="D4" s="3">
        <f ca="1" t="shared" si="2"/>
        <v>1486</v>
      </c>
      <c r="E4" s="3">
        <f ca="1" t="shared" si="3"/>
        <v>56486</v>
      </c>
      <c r="G4" s="11" t="s">
        <v>10</v>
      </c>
      <c r="H4" s="12">
        <v>30000</v>
      </c>
    </row>
    <row r="5" spans="1:8">
      <c r="A5" s="11" t="s">
        <v>11</v>
      </c>
      <c r="B5" s="2" t="str">
        <f ca="1" t="shared" si="0"/>
        <v>Бариста</v>
      </c>
      <c r="C5" s="3">
        <f ca="1" t="shared" si="1"/>
        <v>35000</v>
      </c>
      <c r="D5" s="3">
        <f ca="1" t="shared" si="2"/>
        <v>9501</v>
      </c>
      <c r="E5" s="3">
        <f ca="1" t="shared" si="3"/>
        <v>44501</v>
      </c>
      <c r="G5" s="11" t="s">
        <v>12</v>
      </c>
      <c r="H5" s="12">
        <v>38000</v>
      </c>
    </row>
    <row r="6" spans="1:8">
      <c r="A6" s="11" t="s">
        <v>13</v>
      </c>
      <c r="B6" s="2" t="str">
        <f ca="1" t="shared" si="0"/>
        <v>Кондитер</v>
      </c>
      <c r="C6" s="3">
        <f ca="1" t="shared" si="1"/>
        <v>38000</v>
      </c>
      <c r="D6" s="3">
        <f ca="1" t="shared" si="2"/>
        <v>2375</v>
      </c>
      <c r="E6" s="3">
        <f ca="1" t="shared" si="3"/>
        <v>40375</v>
      </c>
      <c r="G6" s="11" t="s">
        <v>14</v>
      </c>
      <c r="H6" s="12">
        <v>25000</v>
      </c>
    </row>
    <row r="7" spans="1:8">
      <c r="A7" s="11" t="s">
        <v>15</v>
      </c>
      <c r="B7" s="2" t="str">
        <f ca="1" t="shared" si="0"/>
        <v>Управляющий</v>
      </c>
      <c r="C7" s="3">
        <f ca="1" t="shared" si="1"/>
        <v>55000</v>
      </c>
      <c r="D7" s="3">
        <f ca="1" t="shared" si="2"/>
        <v>7154</v>
      </c>
      <c r="E7" s="3">
        <f ca="1" t="shared" si="3"/>
        <v>62154</v>
      </c>
    </row>
    <row r="8" spans="1:8">
      <c r="A8" s="11" t="s">
        <v>16</v>
      </c>
      <c r="B8" s="2" t="str">
        <f ca="1" t="shared" si="0"/>
        <v>Кондитер</v>
      </c>
      <c r="C8" s="3">
        <f ca="1" t="shared" si="1"/>
        <v>38000</v>
      </c>
      <c r="D8" s="3">
        <f ca="1" t="shared" si="2"/>
        <v>9969</v>
      </c>
      <c r="E8" s="3">
        <f ca="1" t="shared" si="3"/>
        <v>47969</v>
      </c>
      <c r="G8" s="6"/>
    </row>
    <row r="9" spans="1:8">
      <c r="A9" s="11" t="s">
        <v>17</v>
      </c>
      <c r="B9" s="2" t="str">
        <f ca="1" t="shared" si="0"/>
        <v>Управляющий</v>
      </c>
      <c r="C9" s="3">
        <f ca="1" t="shared" si="1"/>
        <v>55000</v>
      </c>
      <c r="D9" s="3">
        <f ca="1" t="shared" si="2"/>
        <v>4026</v>
      </c>
      <c r="E9" s="3">
        <f ca="1" t="shared" si="3"/>
        <v>59026</v>
      </c>
    </row>
    <row r="10" spans="1:8">
      <c r="A10" s="11" t="s">
        <v>18</v>
      </c>
      <c r="B10" s="2" t="str">
        <f ca="1" t="shared" si="0"/>
        <v>Кондитер</v>
      </c>
      <c r="C10" s="3">
        <f ca="1" t="shared" si="1"/>
        <v>38000</v>
      </c>
      <c r="D10" s="3">
        <f ca="1" t="shared" si="2"/>
        <v>6527</v>
      </c>
      <c r="E10" s="3">
        <f ca="1" t="shared" si="3"/>
        <v>44527</v>
      </c>
    </row>
    <row r="11" spans="1:8">
      <c r="A11" s="11" t="s">
        <v>19</v>
      </c>
      <c r="B11" s="2" t="str">
        <f ca="1" t="shared" si="0"/>
        <v>Кассир</v>
      </c>
      <c r="C11" s="3">
        <f ca="1" t="shared" si="1"/>
        <v>30000</v>
      </c>
      <c r="D11" s="3">
        <f ca="1" t="shared" si="2"/>
        <v>8733</v>
      </c>
      <c r="E11" s="3">
        <f ca="1" t="shared" si="3"/>
        <v>38733</v>
      </c>
    </row>
    <row r="12" spans="1:8">
      <c r="A12" s="11" t="s">
        <v>20</v>
      </c>
      <c r="B12" s="2" t="str">
        <f ca="1" t="shared" si="0"/>
        <v>Управляющий</v>
      </c>
      <c r="C12" s="3">
        <f ca="1" t="shared" si="1"/>
        <v>55000</v>
      </c>
      <c r="D12" s="3">
        <f ca="1" t="shared" si="2"/>
        <v>5361</v>
      </c>
      <c r="E12" s="3">
        <f ca="1" t="shared" si="3"/>
        <v>60361</v>
      </c>
    </row>
    <row r="13" spans="1:8">
      <c r="A13" s="11" t="s">
        <v>21</v>
      </c>
      <c r="B13" s="2" t="str">
        <f ca="1" t="shared" si="0"/>
        <v>Бариста</v>
      </c>
      <c r="C13" s="3">
        <f ca="1" t="shared" si="1"/>
        <v>35000</v>
      </c>
      <c r="D13" s="3">
        <f ca="1" t="shared" si="2"/>
        <v>8787</v>
      </c>
      <c r="E13" s="3">
        <f ca="1" t="shared" si="3"/>
        <v>43787</v>
      </c>
    </row>
    <row r="14" spans="1:8">
      <c r="A14" s="11" t="s">
        <v>22</v>
      </c>
      <c r="B14" s="2" t="str">
        <f ca="1" t="shared" si="0"/>
        <v>Управляющий</v>
      </c>
      <c r="C14" s="3">
        <f ca="1" t="shared" si="1"/>
        <v>55000</v>
      </c>
      <c r="D14" s="3">
        <f ca="1" t="shared" si="2"/>
        <v>4733</v>
      </c>
      <c r="E14" s="3">
        <f ca="1" t="shared" si="3"/>
        <v>59733</v>
      </c>
    </row>
    <row r="15" spans="1:8">
      <c r="A15" s="11" t="s">
        <v>23</v>
      </c>
      <c r="B15" s="2" t="str">
        <f ca="1" t="shared" si="0"/>
        <v>Кассир</v>
      </c>
      <c r="C15" s="3">
        <f ca="1" t="shared" si="1"/>
        <v>30000</v>
      </c>
      <c r="D15" s="3">
        <f ca="1" t="shared" si="2"/>
        <v>5094</v>
      </c>
      <c r="E15" s="3">
        <f ca="1" t="shared" si="3"/>
        <v>35094</v>
      </c>
    </row>
    <row r="16" spans="1:8">
      <c r="A16" s="11" t="s">
        <v>24</v>
      </c>
      <c r="B16" s="2" t="str">
        <f ca="1" t="shared" si="0"/>
        <v>Уборщик</v>
      </c>
      <c r="C16" s="3">
        <f ca="1" t="shared" si="1"/>
        <v>25000</v>
      </c>
      <c r="D16" s="3">
        <f ca="1" t="shared" si="2"/>
        <v>4016</v>
      </c>
      <c r="E16" s="3">
        <f ca="1" t="shared" si="3"/>
        <v>29016</v>
      </c>
    </row>
    <row r="17" spans="1:5">
      <c r="A17" s="11" t="s">
        <v>25</v>
      </c>
      <c r="B17" s="2" t="str">
        <f ca="1" t="shared" si="0"/>
        <v>Кассир</v>
      </c>
      <c r="C17" s="3">
        <f ca="1" t="shared" si="1"/>
        <v>30000</v>
      </c>
      <c r="D17" s="3">
        <f ca="1" t="shared" si="2"/>
        <v>2437</v>
      </c>
      <c r="E17" s="3">
        <f ca="1" t="shared" si="3"/>
        <v>32437</v>
      </c>
    </row>
    <row r="18" spans="1:5">
      <c r="A18" s="11" t="s">
        <v>26</v>
      </c>
      <c r="B18" s="2" t="str">
        <f ca="1" t="shared" si="0"/>
        <v>Бариста</v>
      </c>
      <c r="C18" s="3">
        <f ca="1" t="shared" si="1"/>
        <v>35000</v>
      </c>
      <c r="D18" s="3">
        <f ca="1" t="shared" si="2"/>
        <v>5973</v>
      </c>
      <c r="E18" s="3">
        <f ca="1" t="shared" si="3"/>
        <v>40973</v>
      </c>
    </row>
    <row r="19" spans="1:5">
      <c r="A19" s="11" t="s">
        <v>27</v>
      </c>
      <c r="B19" s="2" t="str">
        <f ca="1" t="shared" si="0"/>
        <v>Управляющий</v>
      </c>
      <c r="C19" s="3">
        <f ca="1" t="shared" si="1"/>
        <v>55000</v>
      </c>
      <c r="D19" s="3">
        <f ca="1" t="shared" si="2"/>
        <v>5883</v>
      </c>
      <c r="E19" s="3">
        <f ca="1" t="shared" si="3"/>
        <v>60883</v>
      </c>
    </row>
    <row r="20" spans="1:5">
      <c r="A20" s="11" t="s">
        <v>28</v>
      </c>
      <c r="B20" s="2" t="str">
        <f ca="1" t="shared" si="0"/>
        <v>Бариста</v>
      </c>
      <c r="C20" s="3">
        <f ca="1" t="shared" si="1"/>
        <v>35000</v>
      </c>
      <c r="D20" s="3">
        <f ca="1" t="shared" si="2"/>
        <v>3255</v>
      </c>
      <c r="E20" s="3">
        <f ca="1" t="shared" si="3"/>
        <v>38255</v>
      </c>
    </row>
    <row r="21" spans="1:5">
      <c r="A21" s="11" t="s">
        <v>29</v>
      </c>
      <c r="B21" s="2" t="str">
        <f ca="1" t="shared" si="0"/>
        <v>Кондитер</v>
      </c>
      <c r="C21" s="3">
        <f ca="1" t="shared" si="1"/>
        <v>38000</v>
      </c>
      <c r="D21" s="3">
        <f ca="1" t="shared" si="2"/>
        <v>8858</v>
      </c>
      <c r="E21" s="3">
        <f ca="1" t="shared" si="3"/>
        <v>46858</v>
      </c>
    </row>
    <row r="22" spans="1:5">
      <c r="A22" s="11" t="s">
        <v>30</v>
      </c>
      <c r="B22" s="2" t="str">
        <f ca="1" t="shared" si="0"/>
        <v>Кондитер</v>
      </c>
      <c r="C22" s="3">
        <f ca="1" t="shared" si="1"/>
        <v>38000</v>
      </c>
      <c r="D22" s="3">
        <f ca="1" t="shared" si="2"/>
        <v>5946</v>
      </c>
      <c r="E22" s="3">
        <f ca="1" t="shared" si="3"/>
        <v>43946</v>
      </c>
    </row>
    <row r="23" spans="1:5">
      <c r="A23" s="11" t="s">
        <v>31</v>
      </c>
      <c r="B23" s="2" t="str">
        <f ca="1" t="shared" si="0"/>
        <v>Кассир</v>
      </c>
      <c r="C23" s="3">
        <f ca="1" t="shared" si="1"/>
        <v>30000</v>
      </c>
      <c r="D23" s="3">
        <f ca="1" t="shared" si="2"/>
        <v>2077</v>
      </c>
      <c r="E23" s="3">
        <f ca="1" t="shared" si="3"/>
        <v>32077</v>
      </c>
    </row>
    <row r="24" spans="1:5">
      <c r="A24" s="11" t="s">
        <v>32</v>
      </c>
      <c r="B24" s="2" t="str">
        <f ca="1" t="shared" si="0"/>
        <v>Управляющий</v>
      </c>
      <c r="C24" s="3">
        <f ca="1" t="shared" si="1"/>
        <v>55000</v>
      </c>
      <c r="D24" s="3">
        <f ca="1" t="shared" si="2"/>
        <v>8483</v>
      </c>
      <c r="E24" s="3">
        <f ca="1" t="shared" si="3"/>
        <v>63483</v>
      </c>
    </row>
    <row r="25" spans="1:5">
      <c r="A25" s="11" t="s">
        <v>33</v>
      </c>
      <c r="B25" s="2" t="str">
        <f ca="1" t="shared" si="0"/>
        <v>Кондитер</v>
      </c>
      <c r="C25" s="3">
        <f ca="1" t="shared" si="1"/>
        <v>38000</v>
      </c>
      <c r="D25" s="3">
        <f ca="1" t="shared" si="2"/>
        <v>9559</v>
      </c>
      <c r="E25" s="3">
        <f ca="1" t="shared" si="3"/>
        <v>47559</v>
      </c>
    </row>
    <row r="26" spans="1:5">
      <c r="A26" s="11" t="s">
        <v>34</v>
      </c>
      <c r="B26" s="2" t="str">
        <f ca="1" t="shared" si="0"/>
        <v>Бариста</v>
      </c>
      <c r="C26" s="3">
        <f ca="1" t="shared" si="1"/>
        <v>35000</v>
      </c>
      <c r="D26" s="3">
        <f ca="1" t="shared" si="2"/>
        <v>8896</v>
      </c>
      <c r="E26" s="3">
        <f ca="1" t="shared" si="3"/>
        <v>43896</v>
      </c>
    </row>
    <row r="27" spans="1:5">
      <c r="A27" s="11" t="s">
        <v>35</v>
      </c>
      <c r="B27" s="2" t="str">
        <f ca="1" t="shared" si="0"/>
        <v>Кассир</v>
      </c>
      <c r="C27" s="3">
        <f ca="1" t="shared" si="1"/>
        <v>30000</v>
      </c>
      <c r="D27" s="3">
        <f ca="1" t="shared" si="2"/>
        <v>2395</v>
      </c>
      <c r="E27" s="3">
        <f ca="1" t="shared" si="3"/>
        <v>32395</v>
      </c>
    </row>
    <row r="28" spans="1:5">
      <c r="A28" s="11" t="s">
        <v>36</v>
      </c>
      <c r="B28" s="2" t="str">
        <f ca="1" t="shared" si="0"/>
        <v>Управляющий</v>
      </c>
      <c r="C28" s="3">
        <f ca="1" t="shared" si="1"/>
        <v>55000</v>
      </c>
      <c r="D28" s="3">
        <f ca="1" t="shared" si="2"/>
        <v>2609</v>
      </c>
      <c r="E28" s="3">
        <f ca="1" t="shared" si="3"/>
        <v>57609</v>
      </c>
    </row>
    <row r="29" spans="1:5">
      <c r="A29" s="11" t="s">
        <v>37</v>
      </c>
      <c r="B29" s="2" t="str">
        <f ca="1" t="shared" si="0"/>
        <v>Уборщик</v>
      </c>
      <c r="C29" s="3">
        <f ca="1" t="shared" si="1"/>
        <v>25000</v>
      </c>
      <c r="D29" s="3">
        <f ca="1" t="shared" si="2"/>
        <v>7745</v>
      </c>
      <c r="E29" s="3">
        <f ca="1" t="shared" si="3"/>
        <v>32745</v>
      </c>
    </row>
    <row r="30" spans="1:5">
      <c r="A30" s="11" t="s">
        <v>38</v>
      </c>
      <c r="B30" s="2" t="str">
        <f ca="1" t="shared" si="0"/>
        <v>Кассир</v>
      </c>
      <c r="C30" s="3">
        <f ca="1" t="shared" si="1"/>
        <v>30000</v>
      </c>
      <c r="D30" s="3">
        <f ca="1" t="shared" si="2"/>
        <v>3617</v>
      </c>
      <c r="E30" s="3">
        <f ca="1" t="shared" si="3"/>
        <v>33617</v>
      </c>
    </row>
    <row r="31" spans="1:5">
      <c r="A31" s="11" t="s">
        <v>39</v>
      </c>
      <c r="B31" s="2" t="str">
        <f ca="1" t="shared" si="0"/>
        <v>Управляющий</v>
      </c>
      <c r="C31" s="3">
        <f ca="1" t="shared" si="1"/>
        <v>55000</v>
      </c>
      <c r="D31" s="3">
        <f ca="1" t="shared" si="2"/>
        <v>8969</v>
      </c>
      <c r="E31" s="3">
        <f ca="1" t="shared" si="3"/>
        <v>63969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35967</v>
      </c>
      <c r="D2" s="3">
        <f ca="1" t="shared" ref="D2:D31" si="0">RANDBETWEEN(1000,10000)</f>
        <v>1170</v>
      </c>
      <c r="E2" s="3">
        <f ca="1" t="shared" ref="E2:E31" si="1">C2+D2</f>
        <v>37137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21807</v>
      </c>
      <c r="D3" s="3">
        <f ca="1" t="shared" si="0"/>
        <v>9220</v>
      </c>
      <c r="E3" s="3">
        <f ca="1" t="shared" si="1"/>
        <v>31027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56364</v>
      </c>
      <c r="D4" s="3">
        <f ca="1" t="shared" si="0"/>
        <v>4173</v>
      </c>
      <c r="E4" s="3">
        <f ca="1" t="shared" si="1"/>
        <v>60537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36553</v>
      </c>
      <c r="D5" s="3">
        <f ca="1" t="shared" si="0"/>
        <v>4475</v>
      </c>
      <c r="E5" s="3">
        <f ca="1" t="shared" si="1"/>
        <v>41028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33834</v>
      </c>
      <c r="D6" s="3">
        <f ca="1" t="shared" si="0"/>
        <v>2440</v>
      </c>
      <c r="E6" s="3">
        <f ca="1" t="shared" si="1"/>
        <v>36274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58936</v>
      </c>
      <c r="D7" s="3">
        <f ca="1" t="shared" si="0"/>
        <v>8773</v>
      </c>
      <c r="E7" s="3">
        <f ca="1" t="shared" si="1"/>
        <v>67709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39941</v>
      </c>
      <c r="D8" s="3">
        <f ca="1" t="shared" si="0"/>
        <v>5814</v>
      </c>
      <c r="E8" s="3">
        <f ca="1" t="shared" si="1"/>
        <v>45755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58007</v>
      </c>
      <c r="D9" s="3">
        <f ca="1" t="shared" si="0"/>
        <v>1644</v>
      </c>
      <c r="E9" s="3">
        <f ca="1" t="shared" si="1"/>
        <v>59651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33822</v>
      </c>
      <c r="D10" s="3">
        <f ca="1" t="shared" si="0"/>
        <v>4469</v>
      </c>
      <c r="E10" s="3">
        <f ca="1" t="shared" si="1"/>
        <v>38291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27531</v>
      </c>
      <c r="D11" s="3">
        <f ca="1" t="shared" si="0"/>
        <v>6030</v>
      </c>
      <c r="E11" s="3">
        <f ca="1" t="shared" si="1"/>
        <v>33561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57130</v>
      </c>
      <c r="D12" s="3">
        <f ca="1" t="shared" si="0"/>
        <v>4635</v>
      </c>
      <c r="E12" s="3">
        <f ca="1" t="shared" si="1"/>
        <v>61765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35520</v>
      </c>
      <c r="D13" s="3">
        <f ca="1" t="shared" si="0"/>
        <v>7162</v>
      </c>
      <c r="E13" s="3">
        <f ca="1" t="shared" si="1"/>
        <v>42682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57955</v>
      </c>
      <c r="D14" s="3">
        <f ca="1" t="shared" si="0"/>
        <v>7082</v>
      </c>
      <c r="E14" s="3">
        <f ca="1" t="shared" si="1"/>
        <v>65037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31210</v>
      </c>
      <c r="D15" s="3">
        <f ca="1" t="shared" si="0"/>
        <v>1123</v>
      </c>
      <c r="E15" s="3">
        <f ca="1" t="shared" si="1"/>
        <v>32333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22058</v>
      </c>
      <c r="D16" s="3">
        <f ca="1" t="shared" si="0"/>
        <v>8067</v>
      </c>
      <c r="E16" s="3">
        <f ca="1" t="shared" si="1"/>
        <v>30125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31557</v>
      </c>
      <c r="D17" s="3">
        <f ca="1" t="shared" si="0"/>
        <v>5813</v>
      </c>
      <c r="E17" s="3">
        <f ca="1" t="shared" si="1"/>
        <v>37370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39629</v>
      </c>
      <c r="D18" s="3">
        <f ca="1" t="shared" si="0"/>
        <v>1851</v>
      </c>
      <c r="E18" s="3">
        <f ca="1" t="shared" si="1"/>
        <v>41480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52949</v>
      </c>
      <c r="D19" s="3">
        <f ca="1" t="shared" si="0"/>
        <v>6282</v>
      </c>
      <c r="E19" s="3">
        <f ca="1" t="shared" si="1"/>
        <v>59231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36043</v>
      </c>
      <c r="D20" s="3">
        <f ca="1" t="shared" si="0"/>
        <v>6348</v>
      </c>
      <c r="E20" s="3">
        <f ca="1" t="shared" si="1"/>
        <v>42391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35903</v>
      </c>
      <c r="D21" s="3">
        <f ca="1" t="shared" si="0"/>
        <v>3197</v>
      </c>
      <c r="E21" s="3">
        <f ca="1" t="shared" si="1"/>
        <v>39100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42912</v>
      </c>
      <c r="D22" s="3">
        <f ca="1" t="shared" si="0"/>
        <v>2820</v>
      </c>
      <c r="E22" s="3">
        <f ca="1" t="shared" si="1"/>
        <v>45732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32220</v>
      </c>
      <c r="D23" s="3">
        <f ca="1" t="shared" si="0"/>
        <v>4083</v>
      </c>
      <c r="E23" s="3">
        <f ca="1" t="shared" si="1"/>
        <v>36303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59175</v>
      </c>
      <c r="D24" s="3">
        <f ca="1" t="shared" si="0"/>
        <v>5599</v>
      </c>
      <c r="E24" s="3">
        <f ca="1" t="shared" si="1"/>
        <v>64774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35259</v>
      </c>
      <c r="D25" s="3">
        <f ca="1" t="shared" si="0"/>
        <v>8029</v>
      </c>
      <c r="E25" s="3">
        <f ca="1" t="shared" si="1"/>
        <v>43288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32989</v>
      </c>
      <c r="D26" s="3">
        <f ca="1" t="shared" si="0"/>
        <v>5196</v>
      </c>
      <c r="E26" s="3">
        <f ca="1" t="shared" si="1"/>
        <v>38185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31509</v>
      </c>
      <c r="D27" s="3">
        <f ca="1" t="shared" si="0"/>
        <v>9775</v>
      </c>
      <c r="E27" s="3">
        <f ca="1" t="shared" si="1"/>
        <v>41284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56311</v>
      </c>
      <c r="D28" s="3">
        <f ca="1" t="shared" si="0"/>
        <v>3146</v>
      </c>
      <c r="E28" s="3">
        <f ca="1" t="shared" si="1"/>
        <v>59457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28670</v>
      </c>
      <c r="D29" s="3">
        <f ca="1" t="shared" si="0"/>
        <v>5767</v>
      </c>
      <c r="E29" s="3">
        <f ca="1" t="shared" si="1"/>
        <v>34437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34061</v>
      </c>
      <c r="D30" s="3">
        <f ca="1" t="shared" si="0"/>
        <v>6272</v>
      </c>
      <c r="E30" s="3">
        <f ca="1" t="shared" si="1"/>
        <v>40333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52993</v>
      </c>
      <c r="D31" s="3">
        <f ca="1" t="shared" si="0"/>
        <v>2384</v>
      </c>
      <c r="E31" s="3">
        <f ca="1" t="shared" si="1"/>
        <v>55377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33234</v>
      </c>
      <c r="D2" s="3">
        <f ca="1" t="shared" ref="D2:D31" si="0">RANDBETWEEN(1000,10000)</f>
        <v>5121</v>
      </c>
      <c r="E2" s="3">
        <f ca="1" t="shared" ref="E2:E31" si="1">C2+D2</f>
        <v>38355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24729</v>
      </c>
      <c r="D3" s="3">
        <f ca="1" t="shared" si="0"/>
        <v>6361</v>
      </c>
      <c r="E3" s="3">
        <f ca="1" t="shared" si="1"/>
        <v>31090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58656</v>
      </c>
      <c r="D4" s="3">
        <f ca="1" t="shared" si="0"/>
        <v>9333</v>
      </c>
      <c r="E4" s="3">
        <f ca="1" t="shared" si="1"/>
        <v>67989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39867</v>
      </c>
      <c r="D5" s="3">
        <f ca="1" t="shared" si="0"/>
        <v>6107</v>
      </c>
      <c r="E5" s="3">
        <f ca="1" t="shared" si="1"/>
        <v>45974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34149</v>
      </c>
      <c r="D6" s="3">
        <f ca="1" t="shared" si="0"/>
        <v>5641</v>
      </c>
      <c r="E6" s="3">
        <f ca="1" t="shared" si="1"/>
        <v>39790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55940</v>
      </c>
      <c r="D7" s="3">
        <f ca="1" t="shared" si="0"/>
        <v>8153</v>
      </c>
      <c r="E7" s="3">
        <f ca="1" t="shared" si="1"/>
        <v>64093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42960</v>
      </c>
      <c r="D8" s="3">
        <f ca="1" t="shared" si="0"/>
        <v>2262</v>
      </c>
      <c r="E8" s="3">
        <f ca="1" t="shared" si="1"/>
        <v>45222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53658</v>
      </c>
      <c r="D9" s="3">
        <f ca="1" t="shared" si="0"/>
        <v>1195</v>
      </c>
      <c r="E9" s="3">
        <f ca="1" t="shared" si="1"/>
        <v>54853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35950</v>
      </c>
      <c r="D10" s="3">
        <f ca="1" t="shared" si="0"/>
        <v>9453</v>
      </c>
      <c r="E10" s="3">
        <f ca="1" t="shared" si="1"/>
        <v>45403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25723</v>
      </c>
      <c r="D11" s="3">
        <f ca="1" t="shared" si="0"/>
        <v>1736</v>
      </c>
      <c r="E11" s="3">
        <f ca="1" t="shared" si="1"/>
        <v>27459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56395</v>
      </c>
      <c r="D12" s="3">
        <f ca="1" t="shared" si="0"/>
        <v>5613</v>
      </c>
      <c r="E12" s="3">
        <f ca="1" t="shared" si="1"/>
        <v>62008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37562</v>
      </c>
      <c r="D13" s="3">
        <f ca="1" t="shared" si="0"/>
        <v>7878</v>
      </c>
      <c r="E13" s="3">
        <f ca="1" t="shared" si="1"/>
        <v>45440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50839</v>
      </c>
      <c r="D14" s="3">
        <f ca="1" t="shared" si="0"/>
        <v>4894</v>
      </c>
      <c r="E14" s="3">
        <f ca="1" t="shared" si="1"/>
        <v>55733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29495</v>
      </c>
      <c r="D15" s="3">
        <f ca="1" t="shared" si="0"/>
        <v>5185</v>
      </c>
      <c r="E15" s="3">
        <f ca="1" t="shared" si="1"/>
        <v>34680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26016</v>
      </c>
      <c r="D16" s="3">
        <f ca="1" t="shared" si="0"/>
        <v>2487</v>
      </c>
      <c r="E16" s="3">
        <f ca="1" t="shared" si="1"/>
        <v>28503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32631</v>
      </c>
      <c r="D17" s="3">
        <f ca="1" t="shared" si="0"/>
        <v>1423</v>
      </c>
      <c r="E17" s="3">
        <f ca="1" t="shared" si="1"/>
        <v>34054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30627</v>
      </c>
      <c r="D18" s="3">
        <f ca="1" t="shared" si="0"/>
        <v>3400</v>
      </c>
      <c r="E18" s="3">
        <f ca="1" t="shared" si="1"/>
        <v>34027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51896</v>
      </c>
      <c r="D19" s="3">
        <f ca="1" t="shared" si="0"/>
        <v>2621</v>
      </c>
      <c r="E19" s="3">
        <f ca="1" t="shared" si="1"/>
        <v>54517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37935</v>
      </c>
      <c r="D20" s="3">
        <f ca="1" t="shared" si="0"/>
        <v>9581</v>
      </c>
      <c r="E20" s="3">
        <f ca="1" t="shared" si="1"/>
        <v>47516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40826</v>
      </c>
      <c r="D21" s="3">
        <f ca="1" t="shared" si="0"/>
        <v>2095</v>
      </c>
      <c r="E21" s="3">
        <f ca="1" t="shared" si="1"/>
        <v>42921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38557</v>
      </c>
      <c r="D22" s="3">
        <f ca="1" t="shared" si="0"/>
        <v>3419</v>
      </c>
      <c r="E22" s="3">
        <f ca="1" t="shared" si="1"/>
        <v>41976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30943</v>
      </c>
      <c r="D23" s="3">
        <f ca="1" t="shared" si="0"/>
        <v>8963</v>
      </c>
      <c r="E23" s="3">
        <f ca="1" t="shared" si="1"/>
        <v>39906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51605</v>
      </c>
      <c r="D24" s="3">
        <f ca="1" t="shared" si="0"/>
        <v>2162</v>
      </c>
      <c r="E24" s="3">
        <f ca="1" t="shared" si="1"/>
        <v>53767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35827</v>
      </c>
      <c r="D25" s="3">
        <f ca="1" t="shared" si="0"/>
        <v>9125</v>
      </c>
      <c r="E25" s="3">
        <f ca="1" t="shared" si="1"/>
        <v>44952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30190</v>
      </c>
      <c r="D26" s="3">
        <f ca="1" t="shared" si="0"/>
        <v>1416</v>
      </c>
      <c r="E26" s="3">
        <f ca="1" t="shared" si="1"/>
        <v>31606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29890</v>
      </c>
      <c r="D27" s="3">
        <f ca="1" t="shared" si="0"/>
        <v>5211</v>
      </c>
      <c r="E27" s="3">
        <f ca="1" t="shared" si="1"/>
        <v>35101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56999</v>
      </c>
      <c r="D28" s="3">
        <f ca="1" t="shared" si="0"/>
        <v>2658</v>
      </c>
      <c r="E28" s="3">
        <f ca="1" t="shared" si="1"/>
        <v>59657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23896</v>
      </c>
      <c r="D29" s="3">
        <f ca="1" t="shared" si="0"/>
        <v>6267</v>
      </c>
      <c r="E29" s="3">
        <f ca="1" t="shared" si="1"/>
        <v>30163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34156</v>
      </c>
      <c r="D30" s="3">
        <f ca="1" t="shared" si="0"/>
        <v>6794</v>
      </c>
      <c r="E30" s="3">
        <f ca="1" t="shared" si="1"/>
        <v>40950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51293</v>
      </c>
      <c r="D31" s="3">
        <f ca="1" t="shared" si="0"/>
        <v>1374</v>
      </c>
      <c r="E31" s="3">
        <f ca="1" t="shared" si="1"/>
        <v>52667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35296</v>
      </c>
      <c r="D2" s="3">
        <f ca="1" t="shared" ref="D2:D31" si="0">RANDBETWEEN(1000,10000)</f>
        <v>5831</v>
      </c>
      <c r="E2" s="3">
        <f ca="1" t="shared" ref="E2:E31" si="1">C2+D2</f>
        <v>41127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20775</v>
      </c>
      <c r="D3" s="3">
        <f ca="1" t="shared" si="0"/>
        <v>3122</v>
      </c>
      <c r="E3" s="3">
        <f ca="1" t="shared" si="1"/>
        <v>23897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52638</v>
      </c>
      <c r="D4" s="3">
        <f ca="1" t="shared" si="0"/>
        <v>2955</v>
      </c>
      <c r="E4" s="3">
        <f ca="1" t="shared" si="1"/>
        <v>55593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33384</v>
      </c>
      <c r="D5" s="3">
        <f ca="1" t="shared" si="0"/>
        <v>5697</v>
      </c>
      <c r="E5" s="3">
        <f ca="1" t="shared" si="1"/>
        <v>39081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36582</v>
      </c>
      <c r="D6" s="3">
        <f ca="1" t="shared" si="0"/>
        <v>4851</v>
      </c>
      <c r="E6" s="3">
        <f ca="1" t="shared" si="1"/>
        <v>41433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59017</v>
      </c>
      <c r="D7" s="3">
        <f ca="1" t="shared" si="0"/>
        <v>8411</v>
      </c>
      <c r="E7" s="3">
        <f ca="1" t="shared" si="1"/>
        <v>67428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40081</v>
      </c>
      <c r="D8" s="3">
        <f ca="1" t="shared" si="0"/>
        <v>4747</v>
      </c>
      <c r="E8" s="3">
        <f ca="1" t="shared" si="1"/>
        <v>44828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59199</v>
      </c>
      <c r="D9" s="3">
        <f ca="1" t="shared" si="0"/>
        <v>1908</v>
      </c>
      <c r="E9" s="3">
        <f ca="1" t="shared" si="1"/>
        <v>61107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35048</v>
      </c>
      <c r="D10" s="3">
        <f ca="1" t="shared" si="0"/>
        <v>3734</v>
      </c>
      <c r="E10" s="3">
        <f ca="1" t="shared" si="1"/>
        <v>38782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30478</v>
      </c>
      <c r="D11" s="3">
        <f ca="1" t="shared" si="0"/>
        <v>2333</v>
      </c>
      <c r="E11" s="3">
        <f ca="1" t="shared" si="1"/>
        <v>32811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58152</v>
      </c>
      <c r="D12" s="3">
        <f ca="1" t="shared" si="0"/>
        <v>9836</v>
      </c>
      <c r="E12" s="3">
        <f ca="1" t="shared" si="1"/>
        <v>67988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32195</v>
      </c>
      <c r="D13" s="3">
        <f ca="1" t="shared" si="0"/>
        <v>8691</v>
      </c>
      <c r="E13" s="3">
        <f ca="1" t="shared" si="1"/>
        <v>40886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54186</v>
      </c>
      <c r="D14" s="3">
        <f ca="1" t="shared" si="0"/>
        <v>9202</v>
      </c>
      <c r="E14" s="3">
        <f ca="1" t="shared" si="1"/>
        <v>63388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31985</v>
      </c>
      <c r="D15" s="3">
        <f ca="1" t="shared" si="0"/>
        <v>9100</v>
      </c>
      <c r="E15" s="3">
        <f ca="1" t="shared" si="1"/>
        <v>41085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20322</v>
      </c>
      <c r="D16" s="3">
        <f ca="1" t="shared" si="0"/>
        <v>3531</v>
      </c>
      <c r="E16" s="3">
        <f ca="1" t="shared" si="1"/>
        <v>23853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33241</v>
      </c>
      <c r="D17" s="3">
        <f ca="1" t="shared" si="0"/>
        <v>5406</v>
      </c>
      <c r="E17" s="3">
        <f ca="1" t="shared" si="1"/>
        <v>38647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31669</v>
      </c>
      <c r="D18" s="3">
        <f ca="1" t="shared" si="0"/>
        <v>6764</v>
      </c>
      <c r="E18" s="3">
        <f ca="1" t="shared" si="1"/>
        <v>38433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59133</v>
      </c>
      <c r="D19" s="3">
        <f ca="1" t="shared" si="0"/>
        <v>5075</v>
      </c>
      <c r="E19" s="3">
        <f ca="1" t="shared" si="1"/>
        <v>64208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39455</v>
      </c>
      <c r="D20" s="3">
        <f ca="1" t="shared" si="0"/>
        <v>5764</v>
      </c>
      <c r="E20" s="3">
        <f ca="1" t="shared" si="1"/>
        <v>45219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39084</v>
      </c>
      <c r="D21" s="3">
        <f ca="1" t="shared" si="0"/>
        <v>3696</v>
      </c>
      <c r="E21" s="3">
        <f ca="1" t="shared" si="1"/>
        <v>42780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33098</v>
      </c>
      <c r="D22" s="3">
        <f ca="1" t="shared" si="0"/>
        <v>1981</v>
      </c>
      <c r="E22" s="3">
        <f ca="1" t="shared" si="1"/>
        <v>35079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25672</v>
      </c>
      <c r="D23" s="3">
        <f ca="1" t="shared" si="0"/>
        <v>3096</v>
      </c>
      <c r="E23" s="3">
        <f ca="1" t="shared" si="1"/>
        <v>28768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57906</v>
      </c>
      <c r="D24" s="3">
        <f ca="1" t="shared" si="0"/>
        <v>9624</v>
      </c>
      <c r="E24" s="3">
        <f ca="1" t="shared" si="1"/>
        <v>67530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33032</v>
      </c>
      <c r="D25" s="3">
        <f ca="1" t="shared" si="0"/>
        <v>1646</v>
      </c>
      <c r="E25" s="3">
        <f ca="1" t="shared" si="1"/>
        <v>34678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30023</v>
      </c>
      <c r="D26" s="3">
        <f ca="1" t="shared" si="0"/>
        <v>3475</v>
      </c>
      <c r="E26" s="3">
        <f ca="1" t="shared" si="1"/>
        <v>33498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32176</v>
      </c>
      <c r="D27" s="3">
        <f ca="1" t="shared" si="0"/>
        <v>2130</v>
      </c>
      <c r="E27" s="3">
        <f ca="1" t="shared" si="1"/>
        <v>34306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57790</v>
      </c>
      <c r="D28" s="3">
        <f ca="1" t="shared" si="0"/>
        <v>4476</v>
      </c>
      <c r="E28" s="3">
        <f ca="1" t="shared" si="1"/>
        <v>62266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27624</v>
      </c>
      <c r="D29" s="3">
        <f ca="1" t="shared" si="0"/>
        <v>5551</v>
      </c>
      <c r="E29" s="3">
        <f ca="1" t="shared" si="1"/>
        <v>33175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33072</v>
      </c>
      <c r="D30" s="3">
        <f ca="1" t="shared" si="0"/>
        <v>4622</v>
      </c>
      <c r="E30" s="3">
        <f ca="1" t="shared" si="1"/>
        <v>37694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51528</v>
      </c>
      <c r="D31" s="3">
        <f ca="1" t="shared" si="0"/>
        <v>8390</v>
      </c>
      <c r="E31" s="3">
        <f ca="1" t="shared" si="1"/>
        <v>59918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36405</v>
      </c>
      <c r="D2" s="3">
        <f ca="1" t="shared" ref="D2:D31" si="0">RANDBETWEEN(1000,10000)</f>
        <v>7209</v>
      </c>
      <c r="E2" s="3">
        <f ca="1" t="shared" ref="E2:E31" si="1">C2+D2</f>
        <v>43614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25528</v>
      </c>
      <c r="D3" s="3">
        <f ca="1" t="shared" si="0"/>
        <v>4753</v>
      </c>
      <c r="E3" s="3">
        <f ca="1" t="shared" si="1"/>
        <v>30281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54693</v>
      </c>
      <c r="D4" s="3">
        <f ca="1" t="shared" si="0"/>
        <v>3272</v>
      </c>
      <c r="E4" s="3">
        <f ca="1" t="shared" si="1"/>
        <v>57965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36627</v>
      </c>
      <c r="D5" s="3">
        <f ca="1" t="shared" si="0"/>
        <v>8028</v>
      </c>
      <c r="E5" s="3">
        <f ca="1" t="shared" si="1"/>
        <v>44655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33379</v>
      </c>
      <c r="D6" s="3">
        <f ca="1" t="shared" si="0"/>
        <v>8488</v>
      </c>
      <c r="E6" s="3">
        <f ca="1" t="shared" si="1"/>
        <v>41867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58621</v>
      </c>
      <c r="D7" s="3">
        <f ca="1" t="shared" si="0"/>
        <v>5165</v>
      </c>
      <c r="E7" s="3">
        <f ca="1" t="shared" si="1"/>
        <v>63786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37435</v>
      </c>
      <c r="D8" s="3">
        <f ca="1" t="shared" si="0"/>
        <v>5919</v>
      </c>
      <c r="E8" s="3">
        <f ca="1" t="shared" si="1"/>
        <v>43354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59429</v>
      </c>
      <c r="D9" s="3">
        <f ca="1" t="shared" si="0"/>
        <v>1566</v>
      </c>
      <c r="E9" s="3">
        <f ca="1" t="shared" si="1"/>
        <v>60995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33207</v>
      </c>
      <c r="D10" s="3">
        <f ca="1" t="shared" si="0"/>
        <v>5368</v>
      </c>
      <c r="E10" s="3">
        <f ca="1" t="shared" si="1"/>
        <v>38575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27387</v>
      </c>
      <c r="D11" s="3">
        <f ca="1" t="shared" si="0"/>
        <v>4329</v>
      </c>
      <c r="E11" s="3">
        <f ca="1" t="shared" si="1"/>
        <v>31716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54027</v>
      </c>
      <c r="D12" s="3">
        <f ca="1" t="shared" si="0"/>
        <v>4236</v>
      </c>
      <c r="E12" s="3">
        <f ca="1" t="shared" si="1"/>
        <v>58263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34908</v>
      </c>
      <c r="D13" s="3">
        <f ca="1" t="shared" si="0"/>
        <v>2795</v>
      </c>
      <c r="E13" s="3">
        <f ca="1" t="shared" si="1"/>
        <v>37703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52422</v>
      </c>
      <c r="D14" s="3">
        <f ca="1" t="shared" si="0"/>
        <v>8283</v>
      </c>
      <c r="E14" s="3">
        <f ca="1" t="shared" si="1"/>
        <v>60705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27871</v>
      </c>
      <c r="D15" s="3">
        <f ca="1" t="shared" si="0"/>
        <v>5830</v>
      </c>
      <c r="E15" s="3">
        <f ca="1" t="shared" si="1"/>
        <v>33701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25877</v>
      </c>
      <c r="D16" s="3">
        <f ca="1" t="shared" si="0"/>
        <v>4526</v>
      </c>
      <c r="E16" s="3">
        <f ca="1" t="shared" si="1"/>
        <v>30403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31495</v>
      </c>
      <c r="D17" s="3">
        <f ca="1" t="shared" si="0"/>
        <v>5933</v>
      </c>
      <c r="E17" s="3">
        <f ca="1" t="shared" si="1"/>
        <v>37428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32879</v>
      </c>
      <c r="D18" s="3">
        <f ca="1" t="shared" si="0"/>
        <v>6008</v>
      </c>
      <c r="E18" s="3">
        <f ca="1" t="shared" si="1"/>
        <v>38887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57084</v>
      </c>
      <c r="D19" s="3">
        <f ca="1" t="shared" si="0"/>
        <v>2803</v>
      </c>
      <c r="E19" s="3">
        <f ca="1" t="shared" si="1"/>
        <v>59887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34776</v>
      </c>
      <c r="D20" s="3">
        <f ca="1" t="shared" si="0"/>
        <v>9361</v>
      </c>
      <c r="E20" s="3">
        <f ca="1" t="shared" si="1"/>
        <v>44137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35730</v>
      </c>
      <c r="D21" s="3">
        <f ca="1" t="shared" si="0"/>
        <v>9539</v>
      </c>
      <c r="E21" s="3">
        <f ca="1" t="shared" si="1"/>
        <v>45269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35356</v>
      </c>
      <c r="D22" s="3">
        <f ca="1" t="shared" si="0"/>
        <v>1062</v>
      </c>
      <c r="E22" s="3">
        <f ca="1" t="shared" si="1"/>
        <v>36418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31675</v>
      </c>
      <c r="D23" s="3">
        <f ca="1" t="shared" si="0"/>
        <v>8956</v>
      </c>
      <c r="E23" s="3">
        <f ca="1" t="shared" si="1"/>
        <v>40631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58620</v>
      </c>
      <c r="D24" s="3">
        <f ca="1" t="shared" si="0"/>
        <v>8525</v>
      </c>
      <c r="E24" s="3">
        <f ca="1" t="shared" si="1"/>
        <v>67145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41355</v>
      </c>
      <c r="D25" s="3">
        <f ca="1" t="shared" si="0"/>
        <v>9567</v>
      </c>
      <c r="E25" s="3">
        <f ca="1" t="shared" si="1"/>
        <v>50922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33050</v>
      </c>
      <c r="D26" s="3">
        <f ca="1" t="shared" si="0"/>
        <v>3488</v>
      </c>
      <c r="E26" s="3">
        <f ca="1" t="shared" si="1"/>
        <v>36538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28334</v>
      </c>
      <c r="D27" s="3">
        <f ca="1" t="shared" si="0"/>
        <v>9254</v>
      </c>
      <c r="E27" s="3">
        <f ca="1" t="shared" si="1"/>
        <v>37588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57318</v>
      </c>
      <c r="D28" s="3">
        <f ca="1" t="shared" si="0"/>
        <v>4810</v>
      </c>
      <c r="E28" s="3">
        <f ca="1" t="shared" si="1"/>
        <v>62128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26389</v>
      </c>
      <c r="D29" s="3">
        <f ca="1" t="shared" si="0"/>
        <v>9378</v>
      </c>
      <c r="E29" s="3">
        <f ca="1" t="shared" si="1"/>
        <v>35767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30772</v>
      </c>
      <c r="D30" s="3">
        <f ca="1" t="shared" si="0"/>
        <v>1696</v>
      </c>
      <c r="E30" s="3">
        <f ca="1" t="shared" si="1"/>
        <v>32468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54702</v>
      </c>
      <c r="D31" s="3">
        <f ca="1" t="shared" si="0"/>
        <v>3353</v>
      </c>
      <c r="E31" s="3">
        <f ca="1" t="shared" si="1"/>
        <v>58055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32479</v>
      </c>
      <c r="D2" s="3">
        <f ca="1" t="shared" ref="D2:D31" si="0">RANDBETWEEN(1000,10000)</f>
        <v>1847</v>
      </c>
      <c r="E2" s="3">
        <f ca="1" t="shared" ref="E2:E31" si="1">C2+D2</f>
        <v>34326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24540</v>
      </c>
      <c r="D3" s="3">
        <f ca="1" t="shared" si="0"/>
        <v>3966</v>
      </c>
      <c r="E3" s="3">
        <f ca="1" t="shared" si="1"/>
        <v>28506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51714</v>
      </c>
      <c r="D4" s="3">
        <f ca="1" t="shared" si="0"/>
        <v>8209</v>
      </c>
      <c r="E4" s="3">
        <f ca="1" t="shared" si="1"/>
        <v>59923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36271</v>
      </c>
      <c r="D5" s="3">
        <f ca="1" t="shared" si="0"/>
        <v>5891</v>
      </c>
      <c r="E5" s="3">
        <f ca="1" t="shared" si="1"/>
        <v>42162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33710</v>
      </c>
      <c r="D6" s="3">
        <f ca="1" t="shared" si="0"/>
        <v>2502</v>
      </c>
      <c r="E6" s="3">
        <f ca="1" t="shared" si="1"/>
        <v>36212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53838</v>
      </c>
      <c r="D7" s="3">
        <f ca="1" t="shared" si="0"/>
        <v>5270</v>
      </c>
      <c r="E7" s="3">
        <f ca="1" t="shared" si="1"/>
        <v>59108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42134</v>
      </c>
      <c r="D8" s="3">
        <f ca="1" t="shared" si="0"/>
        <v>8229</v>
      </c>
      <c r="E8" s="3">
        <f ca="1" t="shared" si="1"/>
        <v>50363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51668</v>
      </c>
      <c r="D9" s="3">
        <f ca="1" t="shared" si="0"/>
        <v>1223</v>
      </c>
      <c r="E9" s="3">
        <f ca="1" t="shared" si="1"/>
        <v>52891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37436</v>
      </c>
      <c r="D10" s="3">
        <f ca="1" t="shared" si="0"/>
        <v>3951</v>
      </c>
      <c r="E10" s="3">
        <f ca="1" t="shared" si="1"/>
        <v>41387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34295</v>
      </c>
      <c r="D11" s="3">
        <f ca="1" t="shared" si="0"/>
        <v>4615</v>
      </c>
      <c r="E11" s="3">
        <f ca="1" t="shared" si="1"/>
        <v>38910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58191</v>
      </c>
      <c r="D12" s="3">
        <f ca="1" t="shared" si="0"/>
        <v>5804</v>
      </c>
      <c r="E12" s="3">
        <f ca="1" t="shared" si="1"/>
        <v>63995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36170</v>
      </c>
      <c r="D13" s="3">
        <f ca="1" t="shared" si="0"/>
        <v>8623</v>
      </c>
      <c r="E13" s="3">
        <f ca="1" t="shared" si="1"/>
        <v>44793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52155</v>
      </c>
      <c r="D14" s="3">
        <f ca="1" t="shared" si="0"/>
        <v>9367</v>
      </c>
      <c r="E14" s="3">
        <f ca="1" t="shared" si="1"/>
        <v>61522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31589</v>
      </c>
      <c r="D15" s="3">
        <f ca="1" t="shared" si="0"/>
        <v>2900</v>
      </c>
      <c r="E15" s="3">
        <f ca="1" t="shared" si="1"/>
        <v>34489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29332</v>
      </c>
      <c r="D16" s="3">
        <f ca="1" t="shared" si="0"/>
        <v>2859</v>
      </c>
      <c r="E16" s="3">
        <f ca="1" t="shared" si="1"/>
        <v>32191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29813</v>
      </c>
      <c r="D17" s="3">
        <f ca="1" t="shared" si="0"/>
        <v>4995</v>
      </c>
      <c r="E17" s="3">
        <f ca="1" t="shared" si="1"/>
        <v>34808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30892</v>
      </c>
      <c r="D18" s="3">
        <f ca="1" t="shared" si="0"/>
        <v>7441</v>
      </c>
      <c r="E18" s="3">
        <f ca="1" t="shared" si="1"/>
        <v>38333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57465</v>
      </c>
      <c r="D19" s="3">
        <f ca="1" t="shared" si="0"/>
        <v>4408</v>
      </c>
      <c r="E19" s="3">
        <f ca="1" t="shared" si="1"/>
        <v>61873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35824</v>
      </c>
      <c r="D20" s="3">
        <f ca="1" t="shared" si="0"/>
        <v>2196</v>
      </c>
      <c r="E20" s="3">
        <f ca="1" t="shared" si="1"/>
        <v>38020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37255</v>
      </c>
      <c r="D21" s="3">
        <f ca="1" t="shared" si="0"/>
        <v>3429</v>
      </c>
      <c r="E21" s="3">
        <f ca="1" t="shared" si="1"/>
        <v>40684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41022</v>
      </c>
      <c r="D22" s="3">
        <f ca="1" t="shared" si="0"/>
        <v>8340</v>
      </c>
      <c r="E22" s="3">
        <f ca="1" t="shared" si="1"/>
        <v>49362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27978</v>
      </c>
      <c r="D23" s="3">
        <f ca="1" t="shared" si="0"/>
        <v>5169</v>
      </c>
      <c r="E23" s="3">
        <f ca="1" t="shared" si="1"/>
        <v>33147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55570</v>
      </c>
      <c r="D24" s="3">
        <f ca="1" t="shared" si="0"/>
        <v>3670</v>
      </c>
      <c r="E24" s="3">
        <f ca="1" t="shared" si="1"/>
        <v>59240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41000</v>
      </c>
      <c r="D25" s="3">
        <f ca="1" t="shared" si="0"/>
        <v>8760</v>
      </c>
      <c r="E25" s="3">
        <f ca="1" t="shared" si="1"/>
        <v>49760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36727</v>
      </c>
      <c r="D26" s="3">
        <f ca="1" t="shared" si="0"/>
        <v>6143</v>
      </c>
      <c r="E26" s="3">
        <f ca="1" t="shared" si="1"/>
        <v>42870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25155</v>
      </c>
      <c r="D27" s="3">
        <f ca="1" t="shared" si="0"/>
        <v>1801</v>
      </c>
      <c r="E27" s="3">
        <f ca="1" t="shared" si="1"/>
        <v>26956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54296</v>
      </c>
      <c r="D28" s="3">
        <f ca="1" t="shared" si="0"/>
        <v>2922</v>
      </c>
      <c r="E28" s="3">
        <f ca="1" t="shared" si="1"/>
        <v>57218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20583</v>
      </c>
      <c r="D29" s="3">
        <f ca="1" t="shared" si="0"/>
        <v>4414</v>
      </c>
      <c r="E29" s="3">
        <f ca="1" t="shared" si="1"/>
        <v>24997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29409</v>
      </c>
      <c r="D30" s="3">
        <f ca="1" t="shared" si="0"/>
        <v>9978</v>
      </c>
      <c r="E30" s="3">
        <f ca="1" t="shared" si="1"/>
        <v>39387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52825</v>
      </c>
      <c r="D31" s="3">
        <f ca="1" t="shared" si="0"/>
        <v>2981</v>
      </c>
      <c r="E31" s="3">
        <f ca="1" t="shared" si="1"/>
        <v>55806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30244</v>
      </c>
      <c r="D2" s="3">
        <f ca="1" t="shared" ref="D2:D31" si="0">RANDBETWEEN(1000,10000)</f>
        <v>9170</v>
      </c>
      <c r="E2" s="3">
        <f ca="1" t="shared" ref="E2:E31" si="1">C2+D2</f>
        <v>39414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22075</v>
      </c>
      <c r="D3" s="3">
        <f ca="1" t="shared" si="0"/>
        <v>5667</v>
      </c>
      <c r="E3" s="3">
        <f ca="1" t="shared" si="1"/>
        <v>27742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53313</v>
      </c>
      <c r="D4" s="3">
        <f ca="1" t="shared" si="0"/>
        <v>1459</v>
      </c>
      <c r="E4" s="3">
        <f ca="1" t="shared" si="1"/>
        <v>54772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36014</v>
      </c>
      <c r="D5" s="3">
        <f ca="1" t="shared" si="0"/>
        <v>1030</v>
      </c>
      <c r="E5" s="3">
        <f ca="1" t="shared" si="1"/>
        <v>37044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41832</v>
      </c>
      <c r="D6" s="3">
        <f ca="1" t="shared" si="0"/>
        <v>3451</v>
      </c>
      <c r="E6" s="3">
        <f ca="1" t="shared" si="1"/>
        <v>45283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59045</v>
      </c>
      <c r="D7" s="3">
        <f ca="1" t="shared" si="0"/>
        <v>2408</v>
      </c>
      <c r="E7" s="3">
        <f ca="1" t="shared" si="1"/>
        <v>61453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37013</v>
      </c>
      <c r="D8" s="3">
        <f ca="1" t="shared" si="0"/>
        <v>4989</v>
      </c>
      <c r="E8" s="3">
        <f ca="1" t="shared" si="1"/>
        <v>42002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59752</v>
      </c>
      <c r="D9" s="3">
        <f ca="1" t="shared" si="0"/>
        <v>8861</v>
      </c>
      <c r="E9" s="3">
        <f ca="1" t="shared" si="1"/>
        <v>68613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38457</v>
      </c>
      <c r="D10" s="3">
        <f ca="1" t="shared" si="0"/>
        <v>1580</v>
      </c>
      <c r="E10" s="3">
        <f ca="1" t="shared" si="1"/>
        <v>40037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31159</v>
      </c>
      <c r="D11" s="3">
        <f ca="1" t="shared" si="0"/>
        <v>4342</v>
      </c>
      <c r="E11" s="3">
        <f ca="1" t="shared" si="1"/>
        <v>35501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54025</v>
      </c>
      <c r="D12" s="3">
        <f ca="1" t="shared" si="0"/>
        <v>4307</v>
      </c>
      <c r="E12" s="3">
        <f ca="1" t="shared" si="1"/>
        <v>58332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37814</v>
      </c>
      <c r="D13" s="3">
        <f ca="1" t="shared" si="0"/>
        <v>6960</v>
      </c>
      <c r="E13" s="3">
        <f ca="1" t="shared" si="1"/>
        <v>44774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57554</v>
      </c>
      <c r="D14" s="3">
        <f ca="1" t="shared" si="0"/>
        <v>2649</v>
      </c>
      <c r="E14" s="3">
        <f ca="1" t="shared" si="1"/>
        <v>60203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25492</v>
      </c>
      <c r="D15" s="3">
        <f ca="1" t="shared" si="0"/>
        <v>3624</v>
      </c>
      <c r="E15" s="3">
        <f ca="1" t="shared" si="1"/>
        <v>29116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26506</v>
      </c>
      <c r="D16" s="3">
        <f ca="1" t="shared" si="0"/>
        <v>2565</v>
      </c>
      <c r="E16" s="3">
        <f ca="1" t="shared" si="1"/>
        <v>29071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27043</v>
      </c>
      <c r="D17" s="3">
        <f ca="1" t="shared" si="0"/>
        <v>8840</v>
      </c>
      <c r="E17" s="3">
        <f ca="1" t="shared" si="1"/>
        <v>35883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38442</v>
      </c>
      <c r="D18" s="3">
        <f ca="1" t="shared" si="0"/>
        <v>9170</v>
      </c>
      <c r="E18" s="3">
        <f ca="1" t="shared" si="1"/>
        <v>47612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54155</v>
      </c>
      <c r="D19" s="3">
        <f ca="1" t="shared" si="0"/>
        <v>7486</v>
      </c>
      <c r="E19" s="3">
        <f ca="1" t="shared" si="1"/>
        <v>61641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39218</v>
      </c>
      <c r="D20" s="3">
        <f ca="1" t="shared" si="0"/>
        <v>1056</v>
      </c>
      <c r="E20" s="3">
        <f ca="1" t="shared" si="1"/>
        <v>40274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38122</v>
      </c>
      <c r="D21" s="3">
        <f ca="1" t="shared" si="0"/>
        <v>1900</v>
      </c>
      <c r="E21" s="3">
        <f ca="1" t="shared" si="1"/>
        <v>40022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38068</v>
      </c>
      <c r="D22" s="3">
        <f ca="1" t="shared" si="0"/>
        <v>5439</v>
      </c>
      <c r="E22" s="3">
        <f ca="1" t="shared" si="1"/>
        <v>43507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29282</v>
      </c>
      <c r="D23" s="3">
        <f ca="1" t="shared" si="0"/>
        <v>9643</v>
      </c>
      <c r="E23" s="3">
        <f ca="1" t="shared" si="1"/>
        <v>38925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58727</v>
      </c>
      <c r="D24" s="3">
        <f ca="1" t="shared" si="0"/>
        <v>1790</v>
      </c>
      <c r="E24" s="3">
        <f ca="1" t="shared" si="1"/>
        <v>60517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36901</v>
      </c>
      <c r="D25" s="3">
        <f ca="1" t="shared" si="0"/>
        <v>9453</v>
      </c>
      <c r="E25" s="3">
        <f ca="1" t="shared" si="1"/>
        <v>46354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37898</v>
      </c>
      <c r="D26" s="3">
        <f ca="1" t="shared" si="0"/>
        <v>9116</v>
      </c>
      <c r="E26" s="3">
        <f ca="1" t="shared" si="1"/>
        <v>47014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31455</v>
      </c>
      <c r="D27" s="3">
        <f ca="1" t="shared" si="0"/>
        <v>4257</v>
      </c>
      <c r="E27" s="3">
        <f ca="1" t="shared" si="1"/>
        <v>35712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53404</v>
      </c>
      <c r="D28" s="3">
        <f ca="1" t="shared" si="0"/>
        <v>7780</v>
      </c>
      <c r="E28" s="3">
        <f ca="1" t="shared" si="1"/>
        <v>61184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25828</v>
      </c>
      <c r="D29" s="3">
        <f ca="1" t="shared" si="0"/>
        <v>6234</v>
      </c>
      <c r="E29" s="3">
        <f ca="1" t="shared" si="1"/>
        <v>32062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27455</v>
      </c>
      <c r="D30" s="3">
        <f ca="1" t="shared" si="0"/>
        <v>4063</v>
      </c>
      <c r="E30" s="3">
        <f ca="1" t="shared" si="1"/>
        <v>31518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50628</v>
      </c>
      <c r="D31" s="3">
        <f ca="1" t="shared" si="0"/>
        <v>2740</v>
      </c>
      <c r="E31" s="3">
        <f ca="1" t="shared" si="1"/>
        <v>53368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35649</v>
      </c>
      <c r="D2" s="3">
        <f ca="1" t="shared" ref="D2:D31" si="0">RANDBETWEEN(1000,10000)</f>
        <v>7882</v>
      </c>
      <c r="E2" s="3">
        <f ca="1" t="shared" ref="E2:E31" si="1">C2+D2</f>
        <v>43531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22375</v>
      </c>
      <c r="D3" s="3">
        <f ca="1" t="shared" si="0"/>
        <v>7377</v>
      </c>
      <c r="E3" s="3">
        <f ca="1" t="shared" si="1"/>
        <v>29752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58438</v>
      </c>
      <c r="D4" s="3">
        <f ca="1" t="shared" si="0"/>
        <v>9990</v>
      </c>
      <c r="E4" s="3">
        <f ca="1" t="shared" si="1"/>
        <v>68428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35473</v>
      </c>
      <c r="D5" s="3">
        <f ca="1" t="shared" si="0"/>
        <v>2817</v>
      </c>
      <c r="E5" s="3">
        <f ca="1" t="shared" si="1"/>
        <v>38290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33242</v>
      </c>
      <c r="D6" s="3">
        <f ca="1" t="shared" si="0"/>
        <v>3443</v>
      </c>
      <c r="E6" s="3">
        <f ca="1" t="shared" si="1"/>
        <v>36685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50619</v>
      </c>
      <c r="D7" s="3">
        <f ca="1" t="shared" si="0"/>
        <v>6792</v>
      </c>
      <c r="E7" s="3">
        <f ca="1" t="shared" si="1"/>
        <v>57411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36314</v>
      </c>
      <c r="D8" s="3">
        <f ca="1" t="shared" si="0"/>
        <v>3552</v>
      </c>
      <c r="E8" s="3">
        <f ca="1" t="shared" si="1"/>
        <v>39866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53969</v>
      </c>
      <c r="D9" s="3">
        <f ca="1" t="shared" si="0"/>
        <v>1043</v>
      </c>
      <c r="E9" s="3">
        <f ca="1" t="shared" si="1"/>
        <v>55012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42633</v>
      </c>
      <c r="D10" s="3">
        <f ca="1" t="shared" si="0"/>
        <v>9373</v>
      </c>
      <c r="E10" s="3">
        <f ca="1" t="shared" si="1"/>
        <v>52006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27047</v>
      </c>
      <c r="D11" s="3">
        <f ca="1" t="shared" si="0"/>
        <v>4111</v>
      </c>
      <c r="E11" s="3">
        <f ca="1" t="shared" si="1"/>
        <v>31158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50502</v>
      </c>
      <c r="D12" s="3">
        <f ca="1" t="shared" si="0"/>
        <v>6492</v>
      </c>
      <c r="E12" s="3">
        <f ca="1" t="shared" si="1"/>
        <v>56994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30392</v>
      </c>
      <c r="D13" s="3">
        <f ca="1" t="shared" si="0"/>
        <v>3642</v>
      </c>
      <c r="E13" s="3">
        <f ca="1" t="shared" si="1"/>
        <v>34034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51395</v>
      </c>
      <c r="D14" s="3">
        <f ca="1" t="shared" si="0"/>
        <v>5192</v>
      </c>
      <c r="E14" s="3">
        <f ca="1" t="shared" si="1"/>
        <v>56587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26097</v>
      </c>
      <c r="D15" s="3">
        <f ca="1" t="shared" si="0"/>
        <v>5294</v>
      </c>
      <c r="E15" s="3">
        <f ca="1" t="shared" si="1"/>
        <v>31391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29441</v>
      </c>
      <c r="D16" s="3">
        <f ca="1" t="shared" si="0"/>
        <v>6364</v>
      </c>
      <c r="E16" s="3">
        <f ca="1" t="shared" si="1"/>
        <v>35805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31346</v>
      </c>
      <c r="D17" s="3">
        <f ca="1" t="shared" si="0"/>
        <v>6035</v>
      </c>
      <c r="E17" s="3">
        <f ca="1" t="shared" si="1"/>
        <v>37381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30758</v>
      </c>
      <c r="D18" s="3">
        <f ca="1" t="shared" si="0"/>
        <v>9428</v>
      </c>
      <c r="E18" s="3">
        <f ca="1" t="shared" si="1"/>
        <v>40186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50076</v>
      </c>
      <c r="D19" s="3">
        <f ca="1" t="shared" si="0"/>
        <v>5590</v>
      </c>
      <c r="E19" s="3">
        <f ca="1" t="shared" si="1"/>
        <v>55666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36566</v>
      </c>
      <c r="D20" s="3">
        <f ca="1" t="shared" si="0"/>
        <v>1959</v>
      </c>
      <c r="E20" s="3">
        <f ca="1" t="shared" si="1"/>
        <v>38525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35312</v>
      </c>
      <c r="D21" s="3">
        <f ca="1" t="shared" si="0"/>
        <v>5480</v>
      </c>
      <c r="E21" s="3">
        <f ca="1" t="shared" si="1"/>
        <v>40792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36264</v>
      </c>
      <c r="D22" s="3">
        <f ca="1" t="shared" si="0"/>
        <v>2407</v>
      </c>
      <c r="E22" s="3">
        <f ca="1" t="shared" si="1"/>
        <v>38671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30185</v>
      </c>
      <c r="D23" s="3">
        <f ca="1" t="shared" si="0"/>
        <v>6166</v>
      </c>
      <c r="E23" s="3">
        <f ca="1" t="shared" si="1"/>
        <v>36351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59105</v>
      </c>
      <c r="D24" s="3">
        <f ca="1" t="shared" si="0"/>
        <v>5757</v>
      </c>
      <c r="E24" s="3">
        <f ca="1" t="shared" si="1"/>
        <v>64862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39348</v>
      </c>
      <c r="D25" s="3">
        <f ca="1" t="shared" si="0"/>
        <v>7547</v>
      </c>
      <c r="E25" s="3">
        <f ca="1" t="shared" si="1"/>
        <v>46895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30719</v>
      </c>
      <c r="D26" s="3">
        <f ca="1" t="shared" si="0"/>
        <v>7036</v>
      </c>
      <c r="E26" s="3">
        <f ca="1" t="shared" si="1"/>
        <v>37755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26413</v>
      </c>
      <c r="D27" s="3">
        <f ca="1" t="shared" si="0"/>
        <v>7304</v>
      </c>
      <c r="E27" s="3">
        <f ca="1" t="shared" si="1"/>
        <v>33717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56272</v>
      </c>
      <c r="D28" s="3">
        <f ca="1" t="shared" si="0"/>
        <v>6376</v>
      </c>
      <c r="E28" s="3">
        <f ca="1" t="shared" si="1"/>
        <v>62648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21384</v>
      </c>
      <c r="D29" s="3">
        <f ca="1" t="shared" si="0"/>
        <v>8518</v>
      </c>
      <c r="E29" s="3">
        <f ca="1" t="shared" si="1"/>
        <v>29902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26178</v>
      </c>
      <c r="D30" s="3">
        <f ca="1" t="shared" si="0"/>
        <v>9528</v>
      </c>
      <c r="E30" s="3">
        <f ca="1" t="shared" si="1"/>
        <v>35706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59745</v>
      </c>
      <c r="D31" s="3">
        <f ca="1" t="shared" si="0"/>
        <v>2907</v>
      </c>
      <c r="E31" s="3">
        <f ca="1" t="shared" si="1"/>
        <v>62652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34096</v>
      </c>
      <c r="D2" s="3">
        <f ca="1" t="shared" ref="D2:D31" si="0">RANDBETWEEN(1000,10000)</f>
        <v>9147</v>
      </c>
      <c r="E2" s="3">
        <f ca="1" t="shared" ref="E2:E31" si="1">C2+D2</f>
        <v>43243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22847</v>
      </c>
      <c r="D3" s="3">
        <f ca="1" t="shared" si="0"/>
        <v>8609</v>
      </c>
      <c r="E3" s="3">
        <f ca="1" t="shared" si="1"/>
        <v>31456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54358</v>
      </c>
      <c r="D4" s="3">
        <f ca="1" t="shared" si="0"/>
        <v>7887</v>
      </c>
      <c r="E4" s="3">
        <f ca="1" t="shared" si="1"/>
        <v>62245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36240</v>
      </c>
      <c r="D5" s="3">
        <f ca="1" t="shared" si="0"/>
        <v>2595</v>
      </c>
      <c r="E5" s="3">
        <f ca="1" t="shared" si="1"/>
        <v>38835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37883</v>
      </c>
      <c r="D6" s="3">
        <f ca="1" t="shared" si="0"/>
        <v>4798</v>
      </c>
      <c r="E6" s="3">
        <f ca="1" t="shared" si="1"/>
        <v>42681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51071</v>
      </c>
      <c r="D7" s="3">
        <f ca="1" t="shared" si="0"/>
        <v>8435</v>
      </c>
      <c r="E7" s="3">
        <f ca="1" t="shared" si="1"/>
        <v>59506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37010</v>
      </c>
      <c r="D8" s="3">
        <f ca="1" t="shared" si="0"/>
        <v>9055</v>
      </c>
      <c r="E8" s="3">
        <f ca="1" t="shared" si="1"/>
        <v>46065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58353</v>
      </c>
      <c r="D9" s="3">
        <f ca="1" t="shared" si="0"/>
        <v>8022</v>
      </c>
      <c r="E9" s="3">
        <f ca="1" t="shared" si="1"/>
        <v>66375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37372</v>
      </c>
      <c r="D10" s="3">
        <f ca="1" t="shared" si="0"/>
        <v>9709</v>
      </c>
      <c r="E10" s="3">
        <f ca="1" t="shared" si="1"/>
        <v>47081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27984</v>
      </c>
      <c r="D11" s="3">
        <f ca="1" t="shared" si="0"/>
        <v>5248</v>
      </c>
      <c r="E11" s="3">
        <f ca="1" t="shared" si="1"/>
        <v>33232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53415</v>
      </c>
      <c r="D12" s="3">
        <f ca="1" t="shared" si="0"/>
        <v>2725</v>
      </c>
      <c r="E12" s="3">
        <f ca="1" t="shared" si="1"/>
        <v>56140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35393</v>
      </c>
      <c r="D13" s="3">
        <f ca="1" t="shared" si="0"/>
        <v>6668</v>
      </c>
      <c r="E13" s="3">
        <f ca="1" t="shared" si="1"/>
        <v>42061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57855</v>
      </c>
      <c r="D14" s="3">
        <f ca="1" t="shared" si="0"/>
        <v>3861</v>
      </c>
      <c r="E14" s="3">
        <f ca="1" t="shared" si="1"/>
        <v>61716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29806</v>
      </c>
      <c r="D15" s="3">
        <f ca="1" t="shared" si="0"/>
        <v>1005</v>
      </c>
      <c r="E15" s="3">
        <f ca="1" t="shared" si="1"/>
        <v>30811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26989</v>
      </c>
      <c r="D16" s="3">
        <f ca="1" t="shared" si="0"/>
        <v>4328</v>
      </c>
      <c r="E16" s="3">
        <f ca="1" t="shared" si="1"/>
        <v>31317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34055</v>
      </c>
      <c r="D17" s="3">
        <f ca="1" t="shared" si="0"/>
        <v>9286</v>
      </c>
      <c r="E17" s="3">
        <f ca="1" t="shared" si="1"/>
        <v>43341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34001</v>
      </c>
      <c r="D18" s="3">
        <f ca="1" t="shared" si="0"/>
        <v>8604</v>
      </c>
      <c r="E18" s="3">
        <f ca="1" t="shared" si="1"/>
        <v>42605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59385</v>
      </c>
      <c r="D19" s="3">
        <f ca="1" t="shared" si="0"/>
        <v>1606</v>
      </c>
      <c r="E19" s="3">
        <f ca="1" t="shared" si="1"/>
        <v>60991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35398</v>
      </c>
      <c r="D20" s="3">
        <f ca="1" t="shared" si="0"/>
        <v>7124</v>
      </c>
      <c r="E20" s="3">
        <f ca="1" t="shared" si="1"/>
        <v>42522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33149</v>
      </c>
      <c r="D21" s="3">
        <f ca="1" t="shared" si="0"/>
        <v>5962</v>
      </c>
      <c r="E21" s="3">
        <f ca="1" t="shared" si="1"/>
        <v>39111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38970</v>
      </c>
      <c r="D22" s="3">
        <f ca="1" t="shared" si="0"/>
        <v>6083</v>
      </c>
      <c r="E22" s="3">
        <f ca="1" t="shared" si="1"/>
        <v>45053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25853</v>
      </c>
      <c r="D23" s="3">
        <f ca="1" t="shared" si="0"/>
        <v>1328</v>
      </c>
      <c r="E23" s="3">
        <f ca="1" t="shared" si="1"/>
        <v>27181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56007</v>
      </c>
      <c r="D24" s="3">
        <f ca="1" t="shared" si="0"/>
        <v>9455</v>
      </c>
      <c r="E24" s="3">
        <f ca="1" t="shared" si="1"/>
        <v>65462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36192</v>
      </c>
      <c r="D25" s="3">
        <f ca="1" t="shared" si="0"/>
        <v>1595</v>
      </c>
      <c r="E25" s="3">
        <f ca="1" t="shared" si="1"/>
        <v>37787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33299</v>
      </c>
      <c r="D26" s="3">
        <f ca="1" t="shared" si="0"/>
        <v>8604</v>
      </c>
      <c r="E26" s="3">
        <f ca="1" t="shared" si="1"/>
        <v>41903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33412</v>
      </c>
      <c r="D27" s="3">
        <f ca="1" t="shared" si="0"/>
        <v>6235</v>
      </c>
      <c r="E27" s="3">
        <f ca="1" t="shared" si="1"/>
        <v>39647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54685</v>
      </c>
      <c r="D28" s="3">
        <f ca="1" t="shared" si="0"/>
        <v>4190</v>
      </c>
      <c r="E28" s="3">
        <f ca="1" t="shared" si="1"/>
        <v>58875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26006</v>
      </c>
      <c r="D29" s="3">
        <f ca="1" t="shared" si="0"/>
        <v>5368</v>
      </c>
      <c r="E29" s="3">
        <f ca="1" t="shared" si="1"/>
        <v>31374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30261</v>
      </c>
      <c r="D30" s="3">
        <f ca="1" t="shared" si="0"/>
        <v>2581</v>
      </c>
      <c r="E30" s="3">
        <f ca="1" t="shared" si="1"/>
        <v>32842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59285</v>
      </c>
      <c r="D31" s="3">
        <f ca="1" t="shared" si="0"/>
        <v>9929</v>
      </c>
      <c r="E31" s="3">
        <f ca="1" t="shared" si="1"/>
        <v>69214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38108</v>
      </c>
      <c r="D2" s="3">
        <f ca="1" t="shared" ref="D2:D31" si="0">RANDBETWEEN(1000,10000)</f>
        <v>1885</v>
      </c>
      <c r="E2" s="3">
        <f ca="1" t="shared" ref="E2:E31" si="1">C2+D2</f>
        <v>39993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28954</v>
      </c>
      <c r="D3" s="3">
        <f ca="1" t="shared" si="0"/>
        <v>1270</v>
      </c>
      <c r="E3" s="3">
        <f ca="1" t="shared" si="1"/>
        <v>30224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53626</v>
      </c>
      <c r="D4" s="3">
        <f ca="1" t="shared" si="0"/>
        <v>9023</v>
      </c>
      <c r="E4" s="3">
        <f ca="1" t="shared" si="1"/>
        <v>62649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37453</v>
      </c>
      <c r="D5" s="3">
        <f ca="1" t="shared" si="0"/>
        <v>5589</v>
      </c>
      <c r="E5" s="3">
        <f ca="1" t="shared" si="1"/>
        <v>43042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38349</v>
      </c>
      <c r="D6" s="3">
        <f ca="1" t="shared" si="0"/>
        <v>1694</v>
      </c>
      <c r="E6" s="3">
        <f ca="1" t="shared" si="1"/>
        <v>40043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52773</v>
      </c>
      <c r="D7" s="3">
        <f ca="1" t="shared" si="0"/>
        <v>1751</v>
      </c>
      <c r="E7" s="3">
        <f ca="1" t="shared" si="1"/>
        <v>54524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36374</v>
      </c>
      <c r="D8" s="3">
        <f ca="1" t="shared" si="0"/>
        <v>7038</v>
      </c>
      <c r="E8" s="3">
        <f ca="1" t="shared" si="1"/>
        <v>43412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59593</v>
      </c>
      <c r="D9" s="3">
        <f ca="1" t="shared" si="0"/>
        <v>7734</v>
      </c>
      <c r="E9" s="3">
        <f ca="1" t="shared" si="1"/>
        <v>67327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39815</v>
      </c>
      <c r="D10" s="3">
        <f ca="1" t="shared" si="0"/>
        <v>4671</v>
      </c>
      <c r="E10" s="3">
        <f ca="1" t="shared" si="1"/>
        <v>44486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30199</v>
      </c>
      <c r="D11" s="3">
        <f ca="1" t="shared" si="0"/>
        <v>9678</v>
      </c>
      <c r="E11" s="3">
        <f ca="1" t="shared" si="1"/>
        <v>39877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55443</v>
      </c>
      <c r="D12" s="3">
        <f ca="1" t="shared" si="0"/>
        <v>4024</v>
      </c>
      <c r="E12" s="3">
        <f ca="1" t="shared" si="1"/>
        <v>59467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39628</v>
      </c>
      <c r="D13" s="3">
        <f ca="1" t="shared" si="0"/>
        <v>6041</v>
      </c>
      <c r="E13" s="3">
        <f ca="1" t="shared" si="1"/>
        <v>45669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54592</v>
      </c>
      <c r="D14" s="3">
        <f ca="1" t="shared" si="0"/>
        <v>3019</v>
      </c>
      <c r="E14" s="3">
        <f ca="1" t="shared" si="1"/>
        <v>57611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26450</v>
      </c>
      <c r="D15" s="3">
        <f ca="1" t="shared" si="0"/>
        <v>9002</v>
      </c>
      <c r="E15" s="3">
        <f ca="1" t="shared" si="1"/>
        <v>35452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20831</v>
      </c>
      <c r="D16" s="3">
        <f ca="1" t="shared" si="0"/>
        <v>9273</v>
      </c>
      <c r="E16" s="3">
        <f ca="1" t="shared" si="1"/>
        <v>30104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28282</v>
      </c>
      <c r="D17" s="3">
        <f ca="1" t="shared" si="0"/>
        <v>3462</v>
      </c>
      <c r="E17" s="3">
        <f ca="1" t="shared" si="1"/>
        <v>31744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36982</v>
      </c>
      <c r="D18" s="3">
        <f ca="1" t="shared" si="0"/>
        <v>3668</v>
      </c>
      <c r="E18" s="3">
        <f ca="1" t="shared" si="1"/>
        <v>40650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50445</v>
      </c>
      <c r="D19" s="3">
        <f ca="1" t="shared" si="0"/>
        <v>4668</v>
      </c>
      <c r="E19" s="3">
        <f ca="1" t="shared" si="1"/>
        <v>55113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31205</v>
      </c>
      <c r="D20" s="3">
        <f ca="1" t="shared" si="0"/>
        <v>8822</v>
      </c>
      <c r="E20" s="3">
        <f ca="1" t="shared" si="1"/>
        <v>40027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39804</v>
      </c>
      <c r="D21" s="3">
        <f ca="1" t="shared" si="0"/>
        <v>6609</v>
      </c>
      <c r="E21" s="3">
        <f ca="1" t="shared" si="1"/>
        <v>46413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41596</v>
      </c>
      <c r="D22" s="3">
        <f ca="1" t="shared" si="0"/>
        <v>3603</v>
      </c>
      <c r="E22" s="3">
        <f ca="1" t="shared" si="1"/>
        <v>45199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33191</v>
      </c>
      <c r="D23" s="3">
        <f ca="1" t="shared" si="0"/>
        <v>9131</v>
      </c>
      <c r="E23" s="3">
        <f ca="1" t="shared" si="1"/>
        <v>42322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56588</v>
      </c>
      <c r="D24" s="3">
        <f ca="1" t="shared" si="0"/>
        <v>2789</v>
      </c>
      <c r="E24" s="3">
        <f ca="1" t="shared" si="1"/>
        <v>59377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33957</v>
      </c>
      <c r="D25" s="3">
        <f ca="1" t="shared" si="0"/>
        <v>1026</v>
      </c>
      <c r="E25" s="3">
        <f ca="1" t="shared" si="1"/>
        <v>34983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32785</v>
      </c>
      <c r="D26" s="3">
        <f ca="1" t="shared" si="0"/>
        <v>1405</v>
      </c>
      <c r="E26" s="3">
        <f ca="1" t="shared" si="1"/>
        <v>34190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34078</v>
      </c>
      <c r="D27" s="3">
        <f ca="1" t="shared" si="0"/>
        <v>7042</v>
      </c>
      <c r="E27" s="3">
        <f ca="1" t="shared" si="1"/>
        <v>41120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50421</v>
      </c>
      <c r="D28" s="3">
        <f ca="1" t="shared" si="0"/>
        <v>4913</v>
      </c>
      <c r="E28" s="3">
        <f ca="1" t="shared" si="1"/>
        <v>55334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28449</v>
      </c>
      <c r="D29" s="3">
        <f ca="1" t="shared" si="0"/>
        <v>4978</v>
      </c>
      <c r="E29" s="3">
        <f ca="1" t="shared" si="1"/>
        <v>33427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25861</v>
      </c>
      <c r="D30" s="3">
        <f ca="1" t="shared" si="0"/>
        <v>1816</v>
      </c>
      <c r="E30" s="3">
        <f ca="1" t="shared" si="1"/>
        <v>27677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51432</v>
      </c>
      <c r="D31" s="3">
        <f ca="1" t="shared" si="0"/>
        <v>7637</v>
      </c>
      <c r="E31" s="3">
        <f ca="1" t="shared" si="1"/>
        <v>59069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33592</v>
      </c>
      <c r="D2" s="3">
        <f ca="1" t="shared" ref="D2:D31" si="0">RANDBETWEEN(1000,10000)</f>
        <v>2628</v>
      </c>
      <c r="E2" s="3">
        <f ca="1" t="shared" ref="E2:E31" si="1">C2+D2</f>
        <v>36220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29726</v>
      </c>
      <c r="D3" s="3">
        <f ca="1" t="shared" si="0"/>
        <v>3057</v>
      </c>
      <c r="E3" s="3">
        <f ca="1" t="shared" si="1"/>
        <v>32783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57029</v>
      </c>
      <c r="D4" s="3">
        <f ca="1" t="shared" si="0"/>
        <v>3681</v>
      </c>
      <c r="E4" s="3">
        <f ca="1" t="shared" si="1"/>
        <v>60710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38265</v>
      </c>
      <c r="D5" s="3">
        <f ca="1" t="shared" si="0"/>
        <v>6045</v>
      </c>
      <c r="E5" s="3">
        <f ca="1" t="shared" si="1"/>
        <v>44310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38381</v>
      </c>
      <c r="D6" s="3">
        <f ca="1" t="shared" si="0"/>
        <v>1341</v>
      </c>
      <c r="E6" s="3">
        <f ca="1" t="shared" si="1"/>
        <v>39722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59387</v>
      </c>
      <c r="D7" s="3">
        <f ca="1" t="shared" si="0"/>
        <v>8576</v>
      </c>
      <c r="E7" s="3">
        <f ca="1" t="shared" si="1"/>
        <v>67963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34527</v>
      </c>
      <c r="D8" s="3">
        <f ca="1" t="shared" si="0"/>
        <v>8929</v>
      </c>
      <c r="E8" s="3">
        <f ca="1" t="shared" si="1"/>
        <v>43456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54022</v>
      </c>
      <c r="D9" s="3">
        <f ca="1" t="shared" si="0"/>
        <v>4871</v>
      </c>
      <c r="E9" s="3">
        <f ca="1" t="shared" si="1"/>
        <v>58893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38977</v>
      </c>
      <c r="D10" s="3">
        <f ca="1" t="shared" si="0"/>
        <v>3762</v>
      </c>
      <c r="E10" s="3">
        <f ca="1" t="shared" si="1"/>
        <v>42739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27412</v>
      </c>
      <c r="D11" s="3">
        <f ca="1" t="shared" si="0"/>
        <v>3933</v>
      </c>
      <c r="E11" s="3">
        <f ca="1" t="shared" si="1"/>
        <v>31345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59905</v>
      </c>
      <c r="D12" s="3">
        <f ca="1" t="shared" si="0"/>
        <v>3567</v>
      </c>
      <c r="E12" s="3">
        <f ca="1" t="shared" si="1"/>
        <v>63472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34884</v>
      </c>
      <c r="D13" s="3">
        <f ca="1" t="shared" si="0"/>
        <v>4904</v>
      </c>
      <c r="E13" s="3">
        <f ca="1" t="shared" si="1"/>
        <v>39788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54945</v>
      </c>
      <c r="D14" s="3">
        <f ca="1" t="shared" si="0"/>
        <v>1916</v>
      </c>
      <c r="E14" s="3">
        <f ca="1" t="shared" si="1"/>
        <v>56861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34906</v>
      </c>
      <c r="D15" s="3">
        <f ca="1" t="shared" si="0"/>
        <v>5651</v>
      </c>
      <c r="E15" s="3">
        <f ca="1" t="shared" si="1"/>
        <v>40557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23630</v>
      </c>
      <c r="D16" s="3">
        <f ca="1" t="shared" si="0"/>
        <v>6656</v>
      </c>
      <c r="E16" s="3">
        <f ca="1" t="shared" si="1"/>
        <v>30286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30222</v>
      </c>
      <c r="D17" s="3">
        <f ca="1" t="shared" si="0"/>
        <v>4538</v>
      </c>
      <c r="E17" s="3">
        <f ca="1" t="shared" si="1"/>
        <v>34760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32152</v>
      </c>
      <c r="D18" s="3">
        <f ca="1" t="shared" si="0"/>
        <v>4451</v>
      </c>
      <c r="E18" s="3">
        <f ca="1" t="shared" si="1"/>
        <v>36603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59044</v>
      </c>
      <c r="D19" s="3">
        <f ca="1" t="shared" si="0"/>
        <v>6847</v>
      </c>
      <c r="E19" s="3">
        <f ca="1" t="shared" si="1"/>
        <v>65891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31472</v>
      </c>
      <c r="D20" s="3">
        <f ca="1" t="shared" si="0"/>
        <v>9211</v>
      </c>
      <c r="E20" s="3">
        <f ca="1" t="shared" si="1"/>
        <v>40683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36667</v>
      </c>
      <c r="D21" s="3">
        <f ca="1" t="shared" si="0"/>
        <v>3411</v>
      </c>
      <c r="E21" s="3">
        <f ca="1" t="shared" si="1"/>
        <v>40078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40816</v>
      </c>
      <c r="D22" s="3">
        <f ca="1" t="shared" si="0"/>
        <v>2839</v>
      </c>
      <c r="E22" s="3">
        <f ca="1" t="shared" si="1"/>
        <v>43655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33132</v>
      </c>
      <c r="D23" s="3">
        <f ca="1" t="shared" si="0"/>
        <v>4266</v>
      </c>
      <c r="E23" s="3">
        <f ca="1" t="shared" si="1"/>
        <v>37398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51389</v>
      </c>
      <c r="D24" s="3">
        <f ca="1" t="shared" si="0"/>
        <v>1191</v>
      </c>
      <c r="E24" s="3">
        <f ca="1" t="shared" si="1"/>
        <v>52580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37138</v>
      </c>
      <c r="D25" s="3">
        <f ca="1" t="shared" si="0"/>
        <v>8644</v>
      </c>
      <c r="E25" s="3">
        <f ca="1" t="shared" si="1"/>
        <v>45782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34030</v>
      </c>
      <c r="D26" s="3">
        <f ca="1" t="shared" si="0"/>
        <v>4357</v>
      </c>
      <c r="E26" s="3">
        <f ca="1" t="shared" si="1"/>
        <v>38387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32564</v>
      </c>
      <c r="D27" s="3">
        <f ca="1" t="shared" si="0"/>
        <v>3555</v>
      </c>
      <c r="E27" s="3">
        <f ca="1" t="shared" si="1"/>
        <v>36119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58231</v>
      </c>
      <c r="D28" s="3">
        <f ca="1" t="shared" si="0"/>
        <v>4984</v>
      </c>
      <c r="E28" s="3">
        <f ca="1" t="shared" si="1"/>
        <v>63215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28812</v>
      </c>
      <c r="D29" s="3">
        <f ca="1" t="shared" si="0"/>
        <v>4741</v>
      </c>
      <c r="E29" s="3">
        <f ca="1" t="shared" si="1"/>
        <v>33553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25150</v>
      </c>
      <c r="D30" s="3">
        <f ca="1" t="shared" si="0"/>
        <v>2507</v>
      </c>
      <c r="E30" s="3">
        <f ca="1" t="shared" si="1"/>
        <v>27657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55195</v>
      </c>
      <c r="D31" s="3">
        <f ca="1" t="shared" si="0"/>
        <v>4455</v>
      </c>
      <c r="E31" s="3">
        <f ca="1" t="shared" si="1"/>
        <v>59650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34" customWidth="1"/>
    <col min="2" max="2" width="16" customWidth="1"/>
    <col min="3" max="5" width="13" customWidth="1"/>
  </cols>
  <sheetData>
    <row r="1" ht="31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tr">
        <f>Январь!$A$2</f>
        <v>Иванов Алексей Петрович</v>
      </c>
      <c r="B2" s="9" t="str">
        <f ca="1">Январь!$B$2</f>
        <v>Бариста</v>
      </c>
      <c r="C2" s="3">
        <f ca="1">Январь!$C$2+RANDBETWEEN(-5000,5000)</f>
        <v>32154</v>
      </c>
      <c r="D2" s="3">
        <f ca="1" t="shared" ref="D2:D31" si="0">RANDBETWEEN(1000,10000)</f>
        <v>2943</v>
      </c>
      <c r="E2" s="3">
        <f ca="1" t="shared" ref="E2:E31" si="1">C2+D2</f>
        <v>35097</v>
      </c>
    </row>
    <row r="3" spans="1:5">
      <c r="A3" s="9" t="str">
        <f>Январь!$A$3</f>
        <v>Смирнова Елена Викторовна</v>
      </c>
      <c r="B3" s="9" t="str">
        <f ca="1">Январь!$B$3</f>
        <v>Уборщик</v>
      </c>
      <c r="C3" s="3">
        <f ca="1">Январь!$C$3+RANDBETWEEN(-5000,5000)</f>
        <v>29794</v>
      </c>
      <c r="D3" s="3">
        <f ca="1" t="shared" si="0"/>
        <v>7060</v>
      </c>
      <c r="E3" s="3">
        <f ca="1" t="shared" si="1"/>
        <v>36854</v>
      </c>
    </row>
    <row r="4" spans="1:5">
      <c r="A4" s="9" t="str">
        <f>Январь!$A$4</f>
        <v>Кузнецов Дмитрий Сергеевич</v>
      </c>
      <c r="B4" s="9" t="str">
        <f ca="1">Январь!$B$4</f>
        <v>Управляющий</v>
      </c>
      <c r="C4" s="3">
        <f ca="1">Январь!$C$4+RANDBETWEEN(-5000,5000)</f>
        <v>51756</v>
      </c>
      <c r="D4" s="3">
        <f ca="1" t="shared" si="0"/>
        <v>7477</v>
      </c>
      <c r="E4" s="3">
        <f ca="1" t="shared" si="1"/>
        <v>59233</v>
      </c>
    </row>
    <row r="5" spans="1:5">
      <c r="A5" s="9" t="str">
        <f>Январь!$A$5</f>
        <v>Попова Анна Игоревна</v>
      </c>
      <c r="B5" s="9" t="str">
        <f ca="1">Январь!$B$5</f>
        <v>Бариста</v>
      </c>
      <c r="C5" s="3">
        <f ca="1">Январь!$C$5+RANDBETWEEN(-5000,5000)</f>
        <v>30674</v>
      </c>
      <c r="D5" s="3">
        <f ca="1" t="shared" si="0"/>
        <v>5755</v>
      </c>
      <c r="E5" s="3">
        <f ca="1" t="shared" si="1"/>
        <v>36429</v>
      </c>
    </row>
    <row r="6" spans="1:5">
      <c r="A6" s="9" t="str">
        <f>Январь!$A$6</f>
        <v>Соколов Максим Андреевич</v>
      </c>
      <c r="B6" s="9" t="str">
        <f ca="1">Январь!$B$6</f>
        <v>Кондитер</v>
      </c>
      <c r="C6" s="3">
        <f ca="1">Январь!$C$6+RANDBETWEEN(-5000,5000)</f>
        <v>36097</v>
      </c>
      <c r="D6" s="3">
        <f ca="1" t="shared" si="0"/>
        <v>9056</v>
      </c>
      <c r="E6" s="3">
        <f ca="1" t="shared" si="1"/>
        <v>45153</v>
      </c>
    </row>
    <row r="7" spans="1:5">
      <c r="A7" s="9" t="str">
        <f>Январь!$A$7</f>
        <v>Лебедева Ольга Николаевна</v>
      </c>
      <c r="B7" s="9" t="str">
        <f ca="1">Январь!$B$7</f>
        <v>Управляющий</v>
      </c>
      <c r="C7" s="3">
        <f ca="1">Январь!$C$7+RANDBETWEEN(-5000,5000)</f>
        <v>55862</v>
      </c>
      <c r="D7" s="3">
        <f ca="1" t="shared" si="0"/>
        <v>6631</v>
      </c>
      <c r="E7" s="3">
        <f ca="1" t="shared" si="1"/>
        <v>62493</v>
      </c>
    </row>
    <row r="8" spans="1:5">
      <c r="A8" s="9" t="str">
        <f>Январь!$A$8</f>
        <v>Козлов Артём Романович</v>
      </c>
      <c r="B8" s="9" t="str">
        <f ca="1">Январь!$B$8</f>
        <v>Кондитер</v>
      </c>
      <c r="C8" s="3">
        <f ca="1">Январь!$C$8+RANDBETWEEN(-5000,5000)</f>
        <v>33773</v>
      </c>
      <c r="D8" s="3">
        <f ca="1" t="shared" si="0"/>
        <v>5833</v>
      </c>
      <c r="E8" s="3">
        <f ca="1" t="shared" si="1"/>
        <v>39606</v>
      </c>
    </row>
    <row r="9" spans="1:5">
      <c r="A9" s="9" t="str">
        <f>Январь!$A$9</f>
        <v>Новикова Мария Олеговна</v>
      </c>
      <c r="B9" s="9" t="str">
        <f ca="1">Январь!$B$9</f>
        <v>Управляющий</v>
      </c>
      <c r="C9" s="3">
        <f ca="1">Январь!$C$9+RANDBETWEEN(-5000,5000)</f>
        <v>55472</v>
      </c>
      <c r="D9" s="3">
        <f ca="1" t="shared" si="0"/>
        <v>2381</v>
      </c>
      <c r="E9" s="3">
        <f ca="1" t="shared" si="1"/>
        <v>57853</v>
      </c>
    </row>
    <row r="10" spans="1:5">
      <c r="A10" s="9" t="str">
        <f>Январь!$A$10</f>
        <v>Морозов Илья Денисович</v>
      </c>
      <c r="B10" s="9" t="str">
        <f ca="1">Январь!$B$10</f>
        <v>Кондитер</v>
      </c>
      <c r="C10" s="3">
        <f ca="1">Январь!$C$10+RANDBETWEEN(-5000,5000)</f>
        <v>39898</v>
      </c>
      <c r="D10" s="3">
        <f ca="1" t="shared" si="0"/>
        <v>5062</v>
      </c>
      <c r="E10" s="3">
        <f ca="1" t="shared" si="1"/>
        <v>44960</v>
      </c>
    </row>
    <row r="11" spans="1:5">
      <c r="A11" s="9" t="str">
        <f>Январь!$A$11</f>
        <v>Петрова Татьяна Юрьевна</v>
      </c>
      <c r="B11" s="9" t="str">
        <f ca="1">Январь!$B$11</f>
        <v>Кассир</v>
      </c>
      <c r="C11" s="3">
        <f ca="1">Январь!$C$11+RANDBETWEEN(-5000,5000)</f>
        <v>31064</v>
      </c>
      <c r="D11" s="3">
        <f ca="1" t="shared" si="0"/>
        <v>5859</v>
      </c>
      <c r="E11" s="3">
        <f ca="1" t="shared" si="1"/>
        <v>36923</v>
      </c>
    </row>
    <row r="12" spans="1:5">
      <c r="A12" s="9" t="str">
        <f>Январь!$A$12</f>
        <v>Волков Никита Александрович</v>
      </c>
      <c r="B12" s="9" t="str">
        <f ca="1">Январь!$B$12</f>
        <v>Управляющий</v>
      </c>
      <c r="C12" s="3">
        <f ca="1">Январь!$C$12+RANDBETWEEN(-5000,5000)</f>
        <v>53238</v>
      </c>
      <c r="D12" s="3">
        <f ca="1" t="shared" si="0"/>
        <v>6378</v>
      </c>
      <c r="E12" s="3">
        <f ca="1" t="shared" si="1"/>
        <v>59616</v>
      </c>
    </row>
    <row r="13" spans="1:5">
      <c r="A13" s="9" t="str">
        <f>Январь!$A$13</f>
        <v>Соловьёва Дарья Павловна</v>
      </c>
      <c r="B13" s="9" t="str">
        <f ca="1">Январь!$B$13</f>
        <v>Бариста</v>
      </c>
      <c r="C13" s="3">
        <f ca="1">Январь!$C$13+RANDBETWEEN(-5000,5000)</f>
        <v>30898</v>
      </c>
      <c r="D13" s="3">
        <f ca="1" t="shared" si="0"/>
        <v>4636</v>
      </c>
      <c r="E13" s="3">
        <f ca="1" t="shared" si="1"/>
        <v>35534</v>
      </c>
    </row>
    <row r="14" spans="1:5">
      <c r="A14" s="9" t="str">
        <f>Январь!$A$14</f>
        <v>Васильев Кирилл Евгеньевич</v>
      </c>
      <c r="B14" s="9" t="str">
        <f ca="1">Январь!$B$14</f>
        <v>Управляющий</v>
      </c>
      <c r="C14" s="3">
        <f ca="1">Январь!$C$14+RANDBETWEEN(-5000,5000)</f>
        <v>55827</v>
      </c>
      <c r="D14" s="3">
        <f ca="1" t="shared" si="0"/>
        <v>6027</v>
      </c>
      <c r="E14" s="3">
        <f ca="1" t="shared" si="1"/>
        <v>61854</v>
      </c>
    </row>
    <row r="15" spans="1:5">
      <c r="A15" s="9" t="str">
        <f>Январь!$A$15</f>
        <v>Зайцева Ирина Михайловна</v>
      </c>
      <c r="B15" s="9" t="str">
        <f ca="1">Январь!$B$15</f>
        <v>Кассир</v>
      </c>
      <c r="C15" s="3">
        <f ca="1">Январь!$C$15+RANDBETWEEN(-5000,5000)</f>
        <v>34478</v>
      </c>
      <c r="D15" s="3">
        <f ca="1" t="shared" si="0"/>
        <v>3323</v>
      </c>
      <c r="E15" s="3">
        <f ca="1" t="shared" si="1"/>
        <v>37801</v>
      </c>
    </row>
    <row r="16" spans="1:5">
      <c r="A16" s="9" t="str">
        <f>Январь!$A$16</f>
        <v>Павлов Егор Владимирович</v>
      </c>
      <c r="B16" s="9" t="str">
        <f ca="1">Январь!$B$16</f>
        <v>Уборщик</v>
      </c>
      <c r="C16" s="3">
        <f ca="1">Январь!$C$16+RANDBETWEEN(-5000,5000)</f>
        <v>28145</v>
      </c>
      <c r="D16" s="3">
        <f ca="1" t="shared" si="0"/>
        <v>8596</v>
      </c>
      <c r="E16" s="3">
        <f ca="1" t="shared" si="1"/>
        <v>36741</v>
      </c>
    </row>
    <row r="17" spans="1:5">
      <c r="A17" s="9" t="str">
        <f>Январь!$A$17</f>
        <v>Семёнова Алина Артёмовна</v>
      </c>
      <c r="B17" s="9" t="str">
        <f ca="1">Январь!$B$17</f>
        <v>Кассир</v>
      </c>
      <c r="C17" s="3">
        <f ca="1">Январь!$C$17+RANDBETWEEN(-5000,5000)</f>
        <v>26715</v>
      </c>
      <c r="D17" s="3">
        <f ca="1" t="shared" si="0"/>
        <v>3203</v>
      </c>
      <c r="E17" s="3">
        <f ca="1" t="shared" si="1"/>
        <v>29918</v>
      </c>
    </row>
    <row r="18" spans="1:5">
      <c r="A18" s="9" t="str">
        <f>Январь!$A$18</f>
        <v>Голубев Роман Игоревич</v>
      </c>
      <c r="B18" s="9" t="str">
        <f ca="1">Январь!$B$18</f>
        <v>Бариста</v>
      </c>
      <c r="C18" s="3">
        <f ca="1">Январь!$C$18+RANDBETWEEN(-5000,5000)</f>
        <v>30842</v>
      </c>
      <c r="D18" s="3">
        <f ca="1" t="shared" si="0"/>
        <v>4424</v>
      </c>
      <c r="E18" s="3">
        <f ca="1" t="shared" si="1"/>
        <v>35266</v>
      </c>
    </row>
    <row r="19" spans="1:5">
      <c r="A19" s="9" t="str">
        <f>Январь!$A$19</f>
        <v>Виноградова Юлия Сергеевна</v>
      </c>
      <c r="B19" s="9" t="str">
        <f ca="1">Январь!$B$19</f>
        <v>Управляющий</v>
      </c>
      <c r="C19" s="3">
        <f ca="1">Январь!$C$19+RANDBETWEEN(-5000,5000)</f>
        <v>54666</v>
      </c>
      <c r="D19" s="3">
        <f ca="1" t="shared" si="0"/>
        <v>2806</v>
      </c>
      <c r="E19" s="3">
        <f ca="1" t="shared" si="1"/>
        <v>57472</v>
      </c>
    </row>
    <row r="20" spans="1:5">
      <c r="A20" s="9" t="str">
        <f>Январь!$A$20</f>
        <v>Богданов Станислав Олегович</v>
      </c>
      <c r="B20" s="9" t="str">
        <f ca="1">Январь!$B$20</f>
        <v>Бариста</v>
      </c>
      <c r="C20" s="3">
        <f ca="1">Январь!$C$20+RANDBETWEEN(-5000,5000)</f>
        <v>38633</v>
      </c>
      <c r="D20" s="3">
        <f ca="1" t="shared" si="0"/>
        <v>5421</v>
      </c>
      <c r="E20" s="3">
        <f ca="1" t="shared" si="1"/>
        <v>44054</v>
      </c>
    </row>
    <row r="21" spans="1:5">
      <c r="A21" s="9" t="str">
        <f>Январь!$A$21</f>
        <v>Воробьёва Екатерина Андреевна</v>
      </c>
      <c r="B21" s="9" t="str">
        <f ca="1">Январь!$B$21</f>
        <v>Кондитер</v>
      </c>
      <c r="C21" s="3">
        <f ca="1">Январь!$C$21+RANDBETWEEN(-5000,5000)</f>
        <v>42471</v>
      </c>
      <c r="D21" s="3">
        <f ca="1" t="shared" si="0"/>
        <v>8553</v>
      </c>
      <c r="E21" s="3">
        <f ca="1" t="shared" si="1"/>
        <v>51024</v>
      </c>
    </row>
    <row r="22" spans="1:5">
      <c r="A22" s="9" t="str">
        <f>Январь!$A$22</f>
        <v>Фёдоров Павел Дмитриевич</v>
      </c>
      <c r="B22" s="9" t="str">
        <f ca="1">Январь!$B$22</f>
        <v>Кондитер</v>
      </c>
      <c r="C22" s="3">
        <f ca="1">Январь!$C$22+RANDBETWEEN(-5000,5000)</f>
        <v>33834</v>
      </c>
      <c r="D22" s="3">
        <f ca="1" t="shared" si="0"/>
        <v>5927</v>
      </c>
      <c r="E22" s="3">
        <f ca="1" t="shared" si="1"/>
        <v>39761</v>
      </c>
    </row>
    <row r="23" spans="1:5">
      <c r="A23" s="9" t="str">
        <f>Январь!$A$23</f>
        <v>Михайлова Светлана Ивановна</v>
      </c>
      <c r="B23" s="9" t="str">
        <f ca="1">Январь!$B$23</f>
        <v>Кассир</v>
      </c>
      <c r="C23" s="3">
        <f ca="1">Январь!$C$23+RANDBETWEEN(-5000,5000)</f>
        <v>30336</v>
      </c>
      <c r="D23" s="3">
        <f ca="1" t="shared" si="0"/>
        <v>4054</v>
      </c>
      <c r="E23" s="3">
        <f ca="1" t="shared" si="1"/>
        <v>34390</v>
      </c>
    </row>
    <row r="24" spans="1:5">
      <c r="A24" s="9" t="str">
        <f>Январь!$A$24</f>
        <v>Беляев Антон Николаевич</v>
      </c>
      <c r="B24" s="9" t="str">
        <f ca="1">Январь!$B$24</f>
        <v>Управляющий</v>
      </c>
      <c r="C24" s="3">
        <f ca="1">Январь!$C$24+RANDBETWEEN(-5000,5000)</f>
        <v>54771</v>
      </c>
      <c r="D24" s="3">
        <f ca="1" t="shared" si="0"/>
        <v>3137</v>
      </c>
      <c r="E24" s="3">
        <f ca="1" t="shared" si="1"/>
        <v>57908</v>
      </c>
    </row>
    <row r="25" spans="1:5">
      <c r="A25" s="9" t="str">
        <f>Январь!$A$25</f>
        <v>Тарасова Валерия Романовна</v>
      </c>
      <c r="B25" s="9" t="str">
        <f ca="1">Январь!$B$25</f>
        <v>Кондитер</v>
      </c>
      <c r="C25" s="3">
        <f ca="1">Январь!$C$25+RANDBETWEEN(-5000,5000)</f>
        <v>33645</v>
      </c>
      <c r="D25" s="3">
        <f ca="1" t="shared" si="0"/>
        <v>4821</v>
      </c>
      <c r="E25" s="3">
        <f ca="1" t="shared" si="1"/>
        <v>38466</v>
      </c>
    </row>
    <row r="26" spans="1:5">
      <c r="A26" s="9" t="str">
        <f>Январь!$A$26</f>
        <v>Белов Глеб Максимович</v>
      </c>
      <c r="B26" s="9" t="str">
        <f ca="1">Январь!$B$26</f>
        <v>Бариста</v>
      </c>
      <c r="C26" s="3">
        <f ca="1">Январь!$C$26+RANDBETWEEN(-5000,5000)</f>
        <v>36135</v>
      </c>
      <c r="D26" s="3">
        <f ca="1" t="shared" si="0"/>
        <v>9499</v>
      </c>
      <c r="E26" s="3">
        <f ca="1" t="shared" si="1"/>
        <v>45634</v>
      </c>
    </row>
    <row r="27" spans="1:5">
      <c r="A27" s="9" t="str">
        <f>Январь!$A$27</f>
        <v>Комарова Полина Алексеевна</v>
      </c>
      <c r="B27" s="9" t="str">
        <f ca="1">Январь!$B$27</f>
        <v>Кассир</v>
      </c>
      <c r="C27" s="3">
        <f ca="1">Январь!$C$27+RANDBETWEEN(-5000,5000)</f>
        <v>25466</v>
      </c>
      <c r="D27" s="3">
        <f ca="1" t="shared" si="0"/>
        <v>1797</v>
      </c>
      <c r="E27" s="3">
        <f ca="1" t="shared" si="1"/>
        <v>27263</v>
      </c>
    </row>
    <row r="28" spans="1:5">
      <c r="A28" s="9" t="str">
        <f>Январь!$A$28</f>
        <v>Орлов Владислав Станиславович</v>
      </c>
      <c r="B28" s="9" t="str">
        <f ca="1">Январь!$B$28</f>
        <v>Управляющий</v>
      </c>
      <c r="C28" s="3">
        <f ca="1">Январь!$C$28+RANDBETWEEN(-5000,5000)</f>
        <v>56417</v>
      </c>
      <c r="D28" s="3">
        <f ca="1" t="shared" si="0"/>
        <v>1066</v>
      </c>
      <c r="E28" s="3">
        <f ca="1" t="shared" si="1"/>
        <v>57483</v>
      </c>
    </row>
    <row r="29" spans="1:5">
      <c r="A29" s="9" t="str">
        <f>Январь!$A$29</f>
        <v>Киселёва Надежда Петровна</v>
      </c>
      <c r="B29" s="9" t="str">
        <f ca="1">Январь!$B$29</f>
        <v>Уборщик</v>
      </c>
      <c r="C29" s="3">
        <f ca="1">Январь!$C$29+RANDBETWEEN(-5000,5000)</f>
        <v>21082</v>
      </c>
      <c r="D29" s="3">
        <f ca="1" t="shared" si="0"/>
        <v>8793</v>
      </c>
      <c r="E29" s="3">
        <f ca="1" t="shared" si="1"/>
        <v>29875</v>
      </c>
    </row>
    <row r="30" spans="1:5">
      <c r="A30" s="9" t="str">
        <f>Январь!$A$30</f>
        <v>Макаров Тимур Русланович</v>
      </c>
      <c r="B30" s="9" t="str">
        <f ca="1">Январь!$B$30</f>
        <v>Кассир</v>
      </c>
      <c r="C30" s="3">
        <f ca="1">Январь!$C$30+RANDBETWEEN(-5000,5000)</f>
        <v>25093</v>
      </c>
      <c r="D30" s="3">
        <f ca="1" t="shared" si="0"/>
        <v>7619</v>
      </c>
      <c r="E30" s="3">
        <f ca="1" t="shared" si="1"/>
        <v>32712</v>
      </c>
    </row>
    <row r="31" spans="1:5">
      <c r="A31" s="9" t="str">
        <f>Январь!$A$31</f>
        <v>Андреева Вероника Дмитриевна</v>
      </c>
      <c r="B31" s="9" t="str">
        <f ca="1">Январь!$B$31</f>
        <v>Управляющий</v>
      </c>
      <c r="C31" s="3">
        <f ca="1">Январь!$C$31+RANDBETWEEN(-5000,5000)</f>
        <v>54512</v>
      </c>
      <c r="D31" s="3">
        <f ca="1" t="shared" si="0"/>
        <v>1201</v>
      </c>
      <c r="E31" s="3">
        <f ca="1" t="shared" si="1"/>
        <v>55713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34" customWidth="1"/>
    <col min="2" max="13" width="12" customWidth="1"/>
    <col min="14" max="14" width="14" customWidth="1"/>
    <col min="16" max="16" width="30" customWidth="1"/>
    <col min="17" max="17" width="14" customWidth="1"/>
  </cols>
  <sheetData>
    <row r="1" ht="31.5" customHeight="1" spans="1:17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P1" s="1" t="s">
        <v>0</v>
      </c>
      <c r="Q1" s="1" t="s">
        <v>52</v>
      </c>
    </row>
    <row r="2" spans="1:17">
      <c r="A2" s="9" t="str">
        <f>Январь!$A$2</f>
        <v>Иванов Алексей Петрович</v>
      </c>
      <c r="B2" s="10">
        <f ca="1">Январь!$E$2</f>
        <v>37146</v>
      </c>
      <c r="C2" s="10">
        <f ca="1">Февраль!$E$2</f>
        <v>37137</v>
      </c>
      <c r="D2" s="10">
        <f ca="1">Март!$E$2</f>
        <v>38355</v>
      </c>
      <c r="E2" s="10">
        <f ca="1">Апрель!$E$2</f>
        <v>41127</v>
      </c>
      <c r="F2" s="10">
        <f ca="1">Май!$E$2</f>
        <v>43614</v>
      </c>
      <c r="G2" s="10">
        <f ca="1">Июнь!$E$2</f>
        <v>34326</v>
      </c>
      <c r="H2" s="10">
        <f ca="1">Июль!$E$2</f>
        <v>39414</v>
      </c>
      <c r="I2" s="10">
        <f ca="1">Август!$E$2</f>
        <v>43531</v>
      </c>
      <c r="J2" s="10">
        <f ca="1">Сентябрь!$E$2</f>
        <v>43243</v>
      </c>
      <c r="K2" s="10">
        <f ca="1">Октябрь!$E$2</f>
        <v>39993</v>
      </c>
      <c r="L2" s="10">
        <f ca="1">Ноябрь!$E$2</f>
        <v>36220</v>
      </c>
      <c r="M2" s="10">
        <f ca="1">Декабрь!$E$2</f>
        <v>35097</v>
      </c>
      <c r="N2" s="8">
        <f ca="1" t="shared" ref="N2:N31" si="0">SUM(B2:M2)</f>
        <v>469203</v>
      </c>
      <c r="P2" s="9" t="str">
        <f>$A$6</f>
        <v>Соколов Максим Андреевич</v>
      </c>
      <c r="Q2" s="10">
        <f ca="1">$N$6</f>
        <v>485518</v>
      </c>
    </row>
    <row r="3" spans="1:17">
      <c r="A3" s="9" t="str">
        <f>Январь!$A$3</f>
        <v>Смирнова Елена Викторовна</v>
      </c>
      <c r="B3" s="10">
        <f ca="1">Январь!$E$3</f>
        <v>34966</v>
      </c>
      <c r="C3" s="10">
        <f ca="1">Февраль!$E$3</f>
        <v>31027</v>
      </c>
      <c r="D3" s="10">
        <f ca="1">Март!$E$3</f>
        <v>31090</v>
      </c>
      <c r="E3" s="10">
        <f ca="1">Апрель!$E$3</f>
        <v>23897</v>
      </c>
      <c r="F3" s="10">
        <f ca="1">Май!$E$3</f>
        <v>30281</v>
      </c>
      <c r="G3" s="10">
        <f ca="1">Июнь!$E$3</f>
        <v>28506</v>
      </c>
      <c r="H3" s="10">
        <f ca="1">Июль!$E$3</f>
        <v>27742</v>
      </c>
      <c r="I3" s="10">
        <f ca="1">Август!$E$3</f>
        <v>29752</v>
      </c>
      <c r="J3" s="10">
        <f ca="1">Сентябрь!$E$3</f>
        <v>31456</v>
      </c>
      <c r="K3" s="10">
        <f ca="1">Октябрь!$E$3</f>
        <v>30224</v>
      </c>
      <c r="L3" s="10">
        <f ca="1">Ноябрь!$E$3</f>
        <v>32783</v>
      </c>
      <c r="M3" s="10">
        <f ca="1">Декабрь!$E$3</f>
        <v>36854</v>
      </c>
      <c r="N3" s="8">
        <f ca="1" t="shared" si="0"/>
        <v>368578</v>
      </c>
      <c r="P3" s="9" t="str">
        <f>$A$11</f>
        <v>Петрова Татьяна Юрьевна</v>
      </c>
      <c r="Q3" s="10">
        <f ca="1">$N$11</f>
        <v>411226</v>
      </c>
    </row>
    <row r="4" spans="1:17">
      <c r="A4" s="9" t="str">
        <f>Январь!$A$4</f>
        <v>Кузнецов Дмитрий Сергеевич</v>
      </c>
      <c r="B4" s="10">
        <f ca="1">Январь!$E$4</f>
        <v>56486</v>
      </c>
      <c r="C4" s="10">
        <f ca="1">Февраль!$E$4</f>
        <v>60537</v>
      </c>
      <c r="D4" s="10">
        <f ca="1">Март!$E$4</f>
        <v>67989</v>
      </c>
      <c r="E4" s="10">
        <f ca="1">Апрель!$E$4</f>
        <v>55593</v>
      </c>
      <c r="F4" s="10">
        <f ca="1">Май!$E$4</f>
        <v>57965</v>
      </c>
      <c r="G4" s="10">
        <f ca="1">Июнь!$E$4</f>
        <v>59923</v>
      </c>
      <c r="H4" s="10">
        <f ca="1">Июль!$E$4</f>
        <v>54772</v>
      </c>
      <c r="I4" s="10">
        <f ca="1">Август!$E$4</f>
        <v>68428</v>
      </c>
      <c r="J4" s="10">
        <f ca="1">Сентябрь!$E$4</f>
        <v>62245</v>
      </c>
      <c r="K4" s="10">
        <f ca="1">Октябрь!$E$4</f>
        <v>62649</v>
      </c>
      <c r="L4" s="10">
        <f ca="1">Ноябрь!$E$4</f>
        <v>60710</v>
      </c>
      <c r="M4" s="10">
        <f ca="1">Декабрь!$E$4</f>
        <v>59233</v>
      </c>
      <c r="N4" s="8">
        <f ca="1" t="shared" si="0"/>
        <v>726530</v>
      </c>
      <c r="P4" s="9" t="str">
        <f>$A$16</f>
        <v>Павлов Егор Владимирович</v>
      </c>
      <c r="Q4" s="10">
        <f ca="1">$N$16</f>
        <v>367415</v>
      </c>
    </row>
    <row r="5" spans="1:17">
      <c r="A5" s="9" t="str">
        <f>Январь!$A$5</f>
        <v>Попова Анна Игоревна</v>
      </c>
      <c r="B5" s="10">
        <f ca="1">Январь!$E$5</f>
        <v>44501</v>
      </c>
      <c r="C5" s="10">
        <f ca="1">Февраль!$E$5</f>
        <v>41028</v>
      </c>
      <c r="D5" s="10">
        <f ca="1">Март!$E$5</f>
        <v>45974</v>
      </c>
      <c r="E5" s="10">
        <f ca="1">Апрель!$E$5</f>
        <v>39081</v>
      </c>
      <c r="F5" s="10">
        <f ca="1">Май!$E$5</f>
        <v>44655</v>
      </c>
      <c r="G5" s="10">
        <f ca="1">Июнь!$E$5</f>
        <v>42162</v>
      </c>
      <c r="H5" s="10">
        <f ca="1">Июль!$E$5</f>
        <v>37044</v>
      </c>
      <c r="I5" s="10">
        <f ca="1">Август!$E$5</f>
        <v>38290</v>
      </c>
      <c r="J5" s="10">
        <f ca="1">Сентябрь!$E$5</f>
        <v>38835</v>
      </c>
      <c r="K5" s="10">
        <f ca="1">Октябрь!$E$5</f>
        <v>43042</v>
      </c>
      <c r="L5" s="10">
        <f ca="1">Ноябрь!$E$5</f>
        <v>44310</v>
      </c>
      <c r="M5" s="10">
        <f ca="1">Декабрь!$E$5</f>
        <v>36429</v>
      </c>
      <c r="N5" s="8">
        <f ca="1" t="shared" si="0"/>
        <v>495351</v>
      </c>
      <c r="P5" s="9" t="str">
        <f>$A$21</f>
        <v>Воробьёва Екатерина Андреевна</v>
      </c>
      <c r="Q5" s="10">
        <f ca="1">$N$21</f>
        <v>515052</v>
      </c>
    </row>
    <row r="6" spans="1:17">
      <c r="A6" s="9" t="str">
        <f>Январь!$A$6</f>
        <v>Соколов Максим Андреевич</v>
      </c>
      <c r="B6" s="10">
        <f ca="1">Январь!$E$6</f>
        <v>40375</v>
      </c>
      <c r="C6" s="10">
        <f ca="1">Февраль!$E$6</f>
        <v>36274</v>
      </c>
      <c r="D6" s="10">
        <f ca="1">Март!$E$6</f>
        <v>39790</v>
      </c>
      <c r="E6" s="10">
        <f ca="1">Апрель!$E$6</f>
        <v>41433</v>
      </c>
      <c r="F6" s="10">
        <f ca="1">Май!$E$6</f>
        <v>41867</v>
      </c>
      <c r="G6" s="10">
        <f ca="1">Июнь!$E$6</f>
        <v>36212</v>
      </c>
      <c r="H6" s="10">
        <f ca="1">Июль!$E$6</f>
        <v>45283</v>
      </c>
      <c r="I6" s="10">
        <f ca="1">Август!$E$6</f>
        <v>36685</v>
      </c>
      <c r="J6" s="10">
        <f ca="1">Сентябрь!$E$6</f>
        <v>42681</v>
      </c>
      <c r="K6" s="10">
        <f ca="1">Октябрь!$E$6</f>
        <v>40043</v>
      </c>
      <c r="L6" s="10">
        <f ca="1">Ноябрь!$E$6</f>
        <v>39722</v>
      </c>
      <c r="M6" s="10">
        <f ca="1">Декабрь!$E$6</f>
        <v>45153</v>
      </c>
      <c r="N6" s="8">
        <f ca="1" t="shared" si="0"/>
        <v>485518</v>
      </c>
      <c r="P6" s="9" t="str">
        <f>$A$26</f>
        <v>Белов Глеб Максимович</v>
      </c>
      <c r="Q6" s="10">
        <f ca="1">$N$26</f>
        <v>471476</v>
      </c>
    </row>
    <row r="7" spans="1:17">
      <c r="A7" s="9" t="str">
        <f>Январь!$A$7</f>
        <v>Лебедева Ольга Николаевна</v>
      </c>
      <c r="B7" s="10">
        <f ca="1">Январь!$E$7</f>
        <v>62154</v>
      </c>
      <c r="C7" s="10">
        <f ca="1">Февраль!$E$7</f>
        <v>67709</v>
      </c>
      <c r="D7" s="10">
        <f ca="1">Март!$E$7</f>
        <v>64093</v>
      </c>
      <c r="E7" s="10">
        <f ca="1">Апрель!$E$7</f>
        <v>67428</v>
      </c>
      <c r="F7" s="10">
        <f ca="1">Май!$E$7</f>
        <v>63786</v>
      </c>
      <c r="G7" s="10">
        <f ca="1">Июнь!$E$7</f>
        <v>59108</v>
      </c>
      <c r="H7" s="10">
        <f ca="1">Июль!$E$7</f>
        <v>61453</v>
      </c>
      <c r="I7" s="10">
        <f ca="1">Август!$E$7</f>
        <v>57411</v>
      </c>
      <c r="J7" s="10">
        <f ca="1">Сентябрь!$E$7</f>
        <v>59506</v>
      </c>
      <c r="K7" s="10">
        <f ca="1">Октябрь!$E$7</f>
        <v>54524</v>
      </c>
      <c r="L7" s="10">
        <f ca="1">Ноябрь!$E$7</f>
        <v>67963</v>
      </c>
      <c r="M7" s="10">
        <f ca="1">Декабрь!$E$7</f>
        <v>62493</v>
      </c>
      <c r="N7" s="8">
        <f ca="1" t="shared" si="0"/>
        <v>747628</v>
      </c>
      <c r="P7" s="9" t="str">
        <f>$A$31</f>
        <v>Андреева Вероника Дмитриевна</v>
      </c>
      <c r="Q7" s="10">
        <f ca="1">$N$31</f>
        <v>705458</v>
      </c>
    </row>
    <row r="8" spans="1:17">
      <c r="A8" s="9" t="str">
        <f>Январь!$A$8</f>
        <v>Козлов Артём Романович</v>
      </c>
      <c r="B8" s="10">
        <f ca="1">Январь!$E$8</f>
        <v>47969</v>
      </c>
      <c r="C8" s="10">
        <f ca="1">Февраль!$E$8</f>
        <v>45755</v>
      </c>
      <c r="D8" s="10">
        <f ca="1">Март!$E$8</f>
        <v>45222</v>
      </c>
      <c r="E8" s="10">
        <f ca="1">Апрель!$E$8</f>
        <v>44828</v>
      </c>
      <c r="F8" s="10">
        <f ca="1">Май!$E$8</f>
        <v>43354</v>
      </c>
      <c r="G8" s="10">
        <f ca="1">Июнь!$E$8</f>
        <v>50363</v>
      </c>
      <c r="H8" s="10">
        <f ca="1">Июль!$E$8</f>
        <v>42002</v>
      </c>
      <c r="I8" s="10">
        <f ca="1">Август!$E$8</f>
        <v>39866</v>
      </c>
      <c r="J8" s="10">
        <f ca="1">Сентябрь!$E$8</f>
        <v>46065</v>
      </c>
      <c r="K8" s="10">
        <f ca="1">Октябрь!$E$8</f>
        <v>43412</v>
      </c>
      <c r="L8" s="10">
        <f ca="1">Ноябрь!$E$8</f>
        <v>43456</v>
      </c>
      <c r="M8" s="10">
        <f ca="1">Декабрь!$E$8</f>
        <v>39606</v>
      </c>
      <c r="N8" s="8">
        <f ca="1" t="shared" si="0"/>
        <v>531898</v>
      </c>
    </row>
    <row r="9" spans="1:17">
      <c r="A9" s="9" t="str">
        <f>Январь!$A$9</f>
        <v>Новикова Мария Олеговна</v>
      </c>
      <c r="B9" s="10">
        <f ca="1">Январь!$E$9</f>
        <v>59026</v>
      </c>
      <c r="C9" s="10">
        <f ca="1">Февраль!$E$9</f>
        <v>59651</v>
      </c>
      <c r="D9" s="10">
        <f ca="1">Март!$E$9</f>
        <v>54853</v>
      </c>
      <c r="E9" s="10">
        <f ca="1">Апрель!$E$9</f>
        <v>61107</v>
      </c>
      <c r="F9" s="10">
        <f ca="1">Май!$E$9</f>
        <v>60995</v>
      </c>
      <c r="G9" s="10">
        <f ca="1">Июнь!$E$9</f>
        <v>52891</v>
      </c>
      <c r="H9" s="10">
        <f ca="1">Июль!$E$9</f>
        <v>68613</v>
      </c>
      <c r="I9" s="10">
        <f ca="1">Август!$E$9</f>
        <v>55012</v>
      </c>
      <c r="J9" s="10">
        <f ca="1">Сентябрь!$E$9</f>
        <v>66375</v>
      </c>
      <c r="K9" s="10">
        <f ca="1">Октябрь!$E$9</f>
        <v>67327</v>
      </c>
      <c r="L9" s="10">
        <f ca="1">Ноябрь!$E$9</f>
        <v>58893</v>
      </c>
      <c r="M9" s="10">
        <f ca="1">Декабрь!$E$9</f>
        <v>57853</v>
      </c>
      <c r="N9" s="8">
        <f ca="1" t="shared" si="0"/>
        <v>722596</v>
      </c>
      <c r="P9" s="6" t="s">
        <v>53</v>
      </c>
    </row>
    <row r="10" spans="1:17">
      <c r="A10" s="9" t="str">
        <f>Январь!$A$10</f>
        <v>Морозов Илья Денисович</v>
      </c>
      <c r="B10" s="10">
        <f ca="1">Январь!$E$10</f>
        <v>44527</v>
      </c>
      <c r="C10" s="10">
        <f ca="1">Февраль!$E$10</f>
        <v>38291</v>
      </c>
      <c r="D10" s="10">
        <f ca="1">Март!$E$10</f>
        <v>45403</v>
      </c>
      <c r="E10" s="10">
        <f ca="1">Апрель!$E$10</f>
        <v>38782</v>
      </c>
      <c r="F10" s="10">
        <f ca="1">Май!$E$10</f>
        <v>38575</v>
      </c>
      <c r="G10" s="10">
        <f ca="1">Июнь!$E$10</f>
        <v>41387</v>
      </c>
      <c r="H10" s="10">
        <f ca="1">Июль!$E$10</f>
        <v>40037</v>
      </c>
      <c r="I10" s="10">
        <f ca="1">Август!$E$10</f>
        <v>52006</v>
      </c>
      <c r="J10" s="10">
        <f ca="1">Сентябрь!$E$10</f>
        <v>47081</v>
      </c>
      <c r="K10" s="10">
        <f ca="1">Октябрь!$E$10</f>
        <v>44486</v>
      </c>
      <c r="L10" s="10">
        <f ca="1">Ноябрь!$E$10</f>
        <v>42739</v>
      </c>
      <c r="M10" s="10">
        <f ca="1">Декабрь!$E$10</f>
        <v>44960</v>
      </c>
      <c r="N10" s="8">
        <f ca="1" t="shared" si="0"/>
        <v>518274</v>
      </c>
    </row>
    <row r="11" spans="1:17">
      <c r="A11" s="9" t="str">
        <f>Январь!$A$11</f>
        <v>Петрова Татьяна Юрьевна</v>
      </c>
      <c r="B11" s="10">
        <f ca="1">Январь!$E$11</f>
        <v>38733</v>
      </c>
      <c r="C11" s="10">
        <f ca="1">Февраль!$E$11</f>
        <v>33561</v>
      </c>
      <c r="D11" s="10">
        <f ca="1">Март!$E$11</f>
        <v>27459</v>
      </c>
      <c r="E11" s="10">
        <f ca="1">Апрель!$E$11</f>
        <v>32811</v>
      </c>
      <c r="F11" s="10">
        <f ca="1">Май!$E$11</f>
        <v>31716</v>
      </c>
      <c r="G11" s="10">
        <f ca="1">Июнь!$E$11</f>
        <v>38910</v>
      </c>
      <c r="H11" s="10">
        <f ca="1">Июль!$E$11</f>
        <v>35501</v>
      </c>
      <c r="I11" s="10">
        <f ca="1">Август!$E$11</f>
        <v>31158</v>
      </c>
      <c r="J11" s="10">
        <f ca="1">Сентябрь!$E$11</f>
        <v>33232</v>
      </c>
      <c r="K11" s="10">
        <f ca="1">Октябрь!$E$11</f>
        <v>39877</v>
      </c>
      <c r="L11" s="10">
        <f ca="1">Ноябрь!$E$11</f>
        <v>31345</v>
      </c>
      <c r="M11" s="10">
        <f ca="1">Декабрь!$E$11</f>
        <v>36923</v>
      </c>
      <c r="N11" s="8">
        <f ca="1" t="shared" si="0"/>
        <v>411226</v>
      </c>
    </row>
    <row r="12" spans="1:17">
      <c r="A12" s="9" t="str">
        <f>Январь!$A$12</f>
        <v>Волков Никита Александрович</v>
      </c>
      <c r="B12" s="10">
        <f ca="1">Январь!$E$12</f>
        <v>60361</v>
      </c>
      <c r="C12" s="10">
        <f ca="1">Февраль!$E$12</f>
        <v>61765</v>
      </c>
      <c r="D12" s="10">
        <f ca="1">Март!$E$12</f>
        <v>62008</v>
      </c>
      <c r="E12" s="10">
        <f ca="1">Апрель!$E$12</f>
        <v>67988</v>
      </c>
      <c r="F12" s="10">
        <f ca="1">Май!$E$12</f>
        <v>58263</v>
      </c>
      <c r="G12" s="10">
        <f ca="1">Июнь!$E$12</f>
        <v>63995</v>
      </c>
      <c r="H12" s="10">
        <f ca="1">Июль!$E$12</f>
        <v>58332</v>
      </c>
      <c r="I12" s="10">
        <f ca="1">Август!$E$12</f>
        <v>56994</v>
      </c>
      <c r="J12" s="10">
        <f ca="1">Сентябрь!$E$12</f>
        <v>56140</v>
      </c>
      <c r="K12" s="10">
        <f ca="1">Октябрь!$E$12</f>
        <v>59467</v>
      </c>
      <c r="L12" s="10">
        <f ca="1">Ноябрь!$E$12</f>
        <v>63472</v>
      </c>
      <c r="M12" s="10">
        <f ca="1">Декабрь!$E$12</f>
        <v>59616</v>
      </c>
      <c r="N12" s="8">
        <f ca="1" t="shared" si="0"/>
        <v>728401</v>
      </c>
    </row>
    <row r="13" spans="1:17">
      <c r="A13" s="9" t="str">
        <f>Январь!$A$13</f>
        <v>Соловьёва Дарья Павловна</v>
      </c>
      <c r="B13" s="10">
        <f ca="1">Январь!$E$13</f>
        <v>43787</v>
      </c>
      <c r="C13" s="10">
        <f ca="1">Февраль!$E$13</f>
        <v>42682</v>
      </c>
      <c r="D13" s="10">
        <f ca="1">Март!$E$13</f>
        <v>45440</v>
      </c>
      <c r="E13" s="10">
        <f ca="1">Апрель!$E$13</f>
        <v>40886</v>
      </c>
      <c r="F13" s="10">
        <f ca="1">Май!$E$13</f>
        <v>37703</v>
      </c>
      <c r="G13" s="10">
        <f ca="1">Июнь!$E$13</f>
        <v>44793</v>
      </c>
      <c r="H13" s="10">
        <f ca="1">Июль!$E$13</f>
        <v>44774</v>
      </c>
      <c r="I13" s="10">
        <f ca="1">Август!$E$13</f>
        <v>34034</v>
      </c>
      <c r="J13" s="10">
        <f ca="1">Сентябрь!$E$13</f>
        <v>42061</v>
      </c>
      <c r="K13" s="10">
        <f ca="1">Октябрь!$E$13</f>
        <v>45669</v>
      </c>
      <c r="L13" s="10">
        <f ca="1">Ноябрь!$E$13</f>
        <v>39788</v>
      </c>
      <c r="M13" s="10">
        <f ca="1">Декабрь!$E$13</f>
        <v>35534</v>
      </c>
      <c r="N13" s="8">
        <f ca="1" t="shared" si="0"/>
        <v>497151</v>
      </c>
    </row>
    <row r="14" spans="1:17">
      <c r="A14" s="9" t="str">
        <f>Январь!$A$14</f>
        <v>Васильев Кирилл Евгеньевич</v>
      </c>
      <c r="B14" s="10">
        <f ca="1">Январь!$E$14</f>
        <v>59733</v>
      </c>
      <c r="C14" s="10">
        <f ca="1">Февраль!$E$14</f>
        <v>65037</v>
      </c>
      <c r="D14" s="10">
        <f ca="1">Март!$E$14</f>
        <v>55733</v>
      </c>
      <c r="E14" s="10">
        <f ca="1">Апрель!$E$14</f>
        <v>63388</v>
      </c>
      <c r="F14" s="10">
        <f ca="1">Май!$E$14</f>
        <v>60705</v>
      </c>
      <c r="G14" s="10">
        <f ca="1">Июнь!$E$14</f>
        <v>61522</v>
      </c>
      <c r="H14" s="10">
        <f ca="1">Июль!$E$14</f>
        <v>60203</v>
      </c>
      <c r="I14" s="10">
        <f ca="1">Август!$E$14</f>
        <v>56587</v>
      </c>
      <c r="J14" s="10">
        <f ca="1">Сентябрь!$E$14</f>
        <v>61716</v>
      </c>
      <c r="K14" s="10">
        <f ca="1">Октябрь!$E$14</f>
        <v>57611</v>
      </c>
      <c r="L14" s="10">
        <f ca="1">Ноябрь!$E$14</f>
        <v>56861</v>
      </c>
      <c r="M14" s="10">
        <f ca="1">Декабрь!$E$14</f>
        <v>61854</v>
      </c>
      <c r="N14" s="8">
        <f ca="1" t="shared" si="0"/>
        <v>720950</v>
      </c>
    </row>
    <row r="15" spans="1:17">
      <c r="A15" s="9" t="str">
        <f>Январь!$A$15</f>
        <v>Зайцева Ирина Михайловна</v>
      </c>
      <c r="B15" s="10">
        <f ca="1">Январь!$E$15</f>
        <v>35094</v>
      </c>
      <c r="C15" s="10">
        <f ca="1">Февраль!$E$15</f>
        <v>32333</v>
      </c>
      <c r="D15" s="10">
        <f ca="1">Март!$E$15</f>
        <v>34680</v>
      </c>
      <c r="E15" s="10">
        <f ca="1">Апрель!$E$15</f>
        <v>41085</v>
      </c>
      <c r="F15" s="10">
        <f ca="1">Май!$E$15</f>
        <v>33701</v>
      </c>
      <c r="G15" s="10">
        <f ca="1">Июнь!$E$15</f>
        <v>34489</v>
      </c>
      <c r="H15" s="10">
        <f ca="1">Июль!$E$15</f>
        <v>29116</v>
      </c>
      <c r="I15" s="10">
        <f ca="1">Август!$E$15</f>
        <v>31391</v>
      </c>
      <c r="J15" s="10">
        <f ca="1">Сентябрь!$E$15</f>
        <v>30811</v>
      </c>
      <c r="K15" s="10">
        <f ca="1">Октябрь!$E$15</f>
        <v>35452</v>
      </c>
      <c r="L15" s="10">
        <f ca="1">Ноябрь!$E$15</f>
        <v>40557</v>
      </c>
      <c r="M15" s="10">
        <f ca="1">Декабрь!$E$15</f>
        <v>37801</v>
      </c>
      <c r="N15" s="8">
        <f ca="1" t="shared" si="0"/>
        <v>416510</v>
      </c>
    </row>
    <row r="16" spans="1:17">
      <c r="A16" s="9" t="str">
        <f>Январь!$A$16</f>
        <v>Павлов Егор Владимирович</v>
      </c>
      <c r="B16" s="10">
        <f ca="1">Январь!$E$16</f>
        <v>29016</v>
      </c>
      <c r="C16" s="10">
        <f ca="1">Февраль!$E$16</f>
        <v>30125</v>
      </c>
      <c r="D16" s="10">
        <f ca="1">Март!$E$16</f>
        <v>28503</v>
      </c>
      <c r="E16" s="10">
        <f ca="1">Апрель!$E$16</f>
        <v>23853</v>
      </c>
      <c r="F16" s="10">
        <f ca="1">Май!$E$16</f>
        <v>30403</v>
      </c>
      <c r="G16" s="10">
        <f ca="1">Июнь!$E$16</f>
        <v>32191</v>
      </c>
      <c r="H16" s="10">
        <f ca="1">Июль!$E$16</f>
        <v>29071</v>
      </c>
      <c r="I16" s="10">
        <f ca="1">Август!$E$16</f>
        <v>35805</v>
      </c>
      <c r="J16" s="10">
        <f ca="1">Сентябрь!$E$16</f>
        <v>31317</v>
      </c>
      <c r="K16" s="10">
        <f ca="1">Октябрь!$E$16</f>
        <v>30104</v>
      </c>
      <c r="L16" s="10">
        <f ca="1">Ноябрь!$E$16</f>
        <v>30286</v>
      </c>
      <c r="M16" s="10">
        <f ca="1">Декабрь!$E$16</f>
        <v>36741</v>
      </c>
      <c r="N16" s="8">
        <f ca="1" t="shared" si="0"/>
        <v>367415</v>
      </c>
    </row>
    <row r="17" spans="1:14">
      <c r="A17" s="9" t="str">
        <f>Январь!$A$17</f>
        <v>Семёнова Алина Артёмовна</v>
      </c>
      <c r="B17" s="10">
        <f ca="1">Январь!$E$17</f>
        <v>32437</v>
      </c>
      <c r="C17" s="10">
        <f ca="1">Февраль!$E$17</f>
        <v>37370</v>
      </c>
      <c r="D17" s="10">
        <f ca="1">Март!$E$17</f>
        <v>34054</v>
      </c>
      <c r="E17" s="10">
        <f ca="1">Апрель!$E$17</f>
        <v>38647</v>
      </c>
      <c r="F17" s="10">
        <f ca="1">Май!$E$17</f>
        <v>37428</v>
      </c>
      <c r="G17" s="10">
        <f ca="1">Июнь!$E$17</f>
        <v>34808</v>
      </c>
      <c r="H17" s="10">
        <f ca="1">Июль!$E$17</f>
        <v>35883</v>
      </c>
      <c r="I17" s="10">
        <f ca="1">Август!$E$17</f>
        <v>37381</v>
      </c>
      <c r="J17" s="10">
        <f ca="1">Сентябрь!$E$17</f>
        <v>43341</v>
      </c>
      <c r="K17" s="10">
        <f ca="1">Октябрь!$E$17</f>
        <v>31744</v>
      </c>
      <c r="L17" s="10">
        <f ca="1">Ноябрь!$E$17</f>
        <v>34760</v>
      </c>
      <c r="M17" s="10">
        <f ca="1">Декабрь!$E$17</f>
        <v>29918</v>
      </c>
      <c r="N17" s="8">
        <f ca="1" t="shared" si="0"/>
        <v>427771</v>
      </c>
    </row>
    <row r="18" spans="1:14">
      <c r="A18" s="9" t="str">
        <f>Январь!$A$18</f>
        <v>Голубев Роман Игоревич</v>
      </c>
      <c r="B18" s="10">
        <f ca="1">Январь!$E$18</f>
        <v>40973</v>
      </c>
      <c r="C18" s="10">
        <f ca="1">Февраль!$E$18</f>
        <v>41480</v>
      </c>
      <c r="D18" s="10">
        <f ca="1">Март!$E$18</f>
        <v>34027</v>
      </c>
      <c r="E18" s="10">
        <f ca="1">Апрель!$E$18</f>
        <v>38433</v>
      </c>
      <c r="F18" s="10">
        <f ca="1">Май!$E$18</f>
        <v>38887</v>
      </c>
      <c r="G18" s="10">
        <f ca="1">Июнь!$E$18</f>
        <v>38333</v>
      </c>
      <c r="H18" s="10">
        <f ca="1">Июль!$E$18</f>
        <v>47612</v>
      </c>
      <c r="I18" s="10">
        <f ca="1">Август!$E$18</f>
        <v>40186</v>
      </c>
      <c r="J18" s="10">
        <f ca="1">Сентябрь!$E$18</f>
        <v>42605</v>
      </c>
      <c r="K18" s="10">
        <f ca="1">Октябрь!$E$18</f>
        <v>40650</v>
      </c>
      <c r="L18" s="10">
        <f ca="1">Ноябрь!$E$18</f>
        <v>36603</v>
      </c>
      <c r="M18" s="10">
        <f ca="1">Декабрь!$E$18</f>
        <v>35266</v>
      </c>
      <c r="N18" s="8">
        <f ca="1" t="shared" si="0"/>
        <v>475055</v>
      </c>
    </row>
    <row r="19" spans="1:14">
      <c r="A19" s="9" t="str">
        <f>Январь!$A$19</f>
        <v>Виноградова Юлия Сергеевна</v>
      </c>
      <c r="B19" s="10">
        <f ca="1">Январь!$E$19</f>
        <v>60883</v>
      </c>
      <c r="C19" s="10">
        <f ca="1">Февраль!$E$19</f>
        <v>59231</v>
      </c>
      <c r="D19" s="10">
        <f ca="1">Март!$E$19</f>
        <v>54517</v>
      </c>
      <c r="E19" s="10">
        <f ca="1">Апрель!$E$19</f>
        <v>64208</v>
      </c>
      <c r="F19" s="10">
        <f ca="1">Май!$E$19</f>
        <v>59887</v>
      </c>
      <c r="G19" s="10">
        <f ca="1">Июнь!$E$19</f>
        <v>61873</v>
      </c>
      <c r="H19" s="10">
        <f ca="1">Июль!$E$19</f>
        <v>61641</v>
      </c>
      <c r="I19" s="10">
        <f ca="1">Август!$E$19</f>
        <v>55666</v>
      </c>
      <c r="J19" s="10">
        <f ca="1">Сентябрь!$E$19</f>
        <v>60991</v>
      </c>
      <c r="K19" s="10">
        <f ca="1">Октябрь!$E$19</f>
        <v>55113</v>
      </c>
      <c r="L19" s="10">
        <f ca="1">Ноябрь!$E$19</f>
        <v>65891</v>
      </c>
      <c r="M19" s="10">
        <f ca="1">Декабрь!$E$19</f>
        <v>57472</v>
      </c>
      <c r="N19" s="8">
        <f ca="1" t="shared" si="0"/>
        <v>717373</v>
      </c>
    </row>
    <row r="20" spans="1:14">
      <c r="A20" s="9" t="str">
        <f>Январь!$A$20</f>
        <v>Богданов Станислав Олегович</v>
      </c>
      <c r="B20" s="10">
        <f ca="1">Январь!$E$20</f>
        <v>38255</v>
      </c>
      <c r="C20" s="10">
        <f ca="1">Февраль!$E$20</f>
        <v>42391</v>
      </c>
      <c r="D20" s="10">
        <f ca="1">Март!$E$20</f>
        <v>47516</v>
      </c>
      <c r="E20" s="10">
        <f ca="1">Апрель!$E$20</f>
        <v>45219</v>
      </c>
      <c r="F20" s="10">
        <f ca="1">Май!$E$20</f>
        <v>44137</v>
      </c>
      <c r="G20" s="10">
        <f ca="1">Июнь!$E$20</f>
        <v>38020</v>
      </c>
      <c r="H20" s="10">
        <f ca="1">Июль!$E$20</f>
        <v>40274</v>
      </c>
      <c r="I20" s="10">
        <f ca="1">Август!$E$20</f>
        <v>38525</v>
      </c>
      <c r="J20" s="10">
        <f ca="1">Сентябрь!$E$20</f>
        <v>42522</v>
      </c>
      <c r="K20" s="10">
        <f ca="1">Октябрь!$E$20</f>
        <v>40027</v>
      </c>
      <c r="L20" s="10">
        <f ca="1">Ноябрь!$E$20</f>
        <v>40683</v>
      </c>
      <c r="M20" s="10">
        <f ca="1">Декабрь!$E$20</f>
        <v>44054</v>
      </c>
      <c r="N20" s="8">
        <f ca="1" t="shared" si="0"/>
        <v>501623</v>
      </c>
    </row>
    <row r="21" spans="1:14">
      <c r="A21" s="9" t="str">
        <f>Январь!$A$21</f>
        <v>Воробьёва Екатерина Андреевна</v>
      </c>
      <c r="B21" s="10">
        <f ca="1">Январь!$E$21</f>
        <v>46858</v>
      </c>
      <c r="C21" s="10">
        <f ca="1">Февраль!$E$21</f>
        <v>39100</v>
      </c>
      <c r="D21" s="10">
        <f ca="1">Март!$E$21</f>
        <v>42921</v>
      </c>
      <c r="E21" s="10">
        <f ca="1">Апрель!$E$21</f>
        <v>42780</v>
      </c>
      <c r="F21" s="10">
        <f ca="1">Май!$E$21</f>
        <v>45269</v>
      </c>
      <c r="G21" s="10">
        <f ca="1">Июнь!$E$21</f>
        <v>40684</v>
      </c>
      <c r="H21" s="10">
        <f ca="1">Июль!$E$21</f>
        <v>40022</v>
      </c>
      <c r="I21" s="10">
        <f ca="1">Август!$E$21</f>
        <v>40792</v>
      </c>
      <c r="J21" s="10">
        <f ca="1">Сентябрь!$E$21</f>
        <v>39111</v>
      </c>
      <c r="K21" s="10">
        <f ca="1">Октябрь!$E$21</f>
        <v>46413</v>
      </c>
      <c r="L21" s="10">
        <f ca="1">Ноябрь!$E$21</f>
        <v>40078</v>
      </c>
      <c r="M21" s="10">
        <f ca="1">Декабрь!$E$21</f>
        <v>51024</v>
      </c>
      <c r="N21" s="8">
        <f ca="1" t="shared" si="0"/>
        <v>515052</v>
      </c>
    </row>
    <row r="22" spans="1:14">
      <c r="A22" s="9" t="str">
        <f>Январь!$A$22</f>
        <v>Фёдоров Павел Дмитриевич</v>
      </c>
      <c r="B22" s="10">
        <f ca="1">Январь!$E$22</f>
        <v>43946</v>
      </c>
      <c r="C22" s="10">
        <f ca="1">Февраль!$E$22</f>
        <v>45732</v>
      </c>
      <c r="D22" s="10">
        <f ca="1">Март!$E$22</f>
        <v>41976</v>
      </c>
      <c r="E22" s="10">
        <f ca="1">Апрель!$E$22</f>
        <v>35079</v>
      </c>
      <c r="F22" s="10">
        <f ca="1">Май!$E$22</f>
        <v>36418</v>
      </c>
      <c r="G22" s="10">
        <f ca="1">Июнь!$E$22</f>
        <v>49362</v>
      </c>
      <c r="H22" s="10">
        <f ca="1">Июль!$E$22</f>
        <v>43507</v>
      </c>
      <c r="I22" s="10">
        <f ca="1">Август!$E$22</f>
        <v>38671</v>
      </c>
      <c r="J22" s="10">
        <f ca="1">Сентябрь!$E$22</f>
        <v>45053</v>
      </c>
      <c r="K22" s="10">
        <f ca="1">Октябрь!$E$22</f>
        <v>45199</v>
      </c>
      <c r="L22" s="10">
        <f ca="1">Ноябрь!$E$22</f>
        <v>43655</v>
      </c>
      <c r="M22" s="10">
        <f ca="1">Декабрь!$E$22</f>
        <v>39761</v>
      </c>
      <c r="N22" s="8">
        <f ca="1" t="shared" si="0"/>
        <v>508359</v>
      </c>
    </row>
    <row r="23" spans="1:14">
      <c r="A23" s="9" t="str">
        <f>Январь!$A$23</f>
        <v>Михайлова Светлана Ивановна</v>
      </c>
      <c r="B23" s="10">
        <f ca="1">Январь!$E$23</f>
        <v>32077</v>
      </c>
      <c r="C23" s="10">
        <f ca="1">Февраль!$E$23</f>
        <v>36303</v>
      </c>
      <c r="D23" s="10">
        <f ca="1">Март!$E$23</f>
        <v>39906</v>
      </c>
      <c r="E23" s="10">
        <f ca="1">Апрель!$E$23</f>
        <v>28768</v>
      </c>
      <c r="F23" s="10">
        <f ca="1">Май!$E$23</f>
        <v>40631</v>
      </c>
      <c r="G23" s="10">
        <f ca="1">Июнь!$E$23</f>
        <v>33147</v>
      </c>
      <c r="H23" s="10">
        <f ca="1">Июль!$E$23</f>
        <v>38925</v>
      </c>
      <c r="I23" s="10">
        <f ca="1">Август!$E$23</f>
        <v>36351</v>
      </c>
      <c r="J23" s="10">
        <f ca="1">Сентябрь!$E$23</f>
        <v>27181</v>
      </c>
      <c r="K23" s="10">
        <f ca="1">Октябрь!$E$23</f>
        <v>42322</v>
      </c>
      <c r="L23" s="10">
        <f ca="1">Ноябрь!$E$23</f>
        <v>37398</v>
      </c>
      <c r="M23" s="10">
        <f ca="1">Декабрь!$E$23</f>
        <v>34390</v>
      </c>
      <c r="N23" s="8">
        <f ca="1" t="shared" si="0"/>
        <v>427399</v>
      </c>
    </row>
    <row r="24" spans="1:14">
      <c r="A24" s="9" t="str">
        <f>Январь!$A$24</f>
        <v>Беляев Антон Николаевич</v>
      </c>
      <c r="B24" s="10">
        <f ca="1">Январь!$E$24</f>
        <v>63483</v>
      </c>
      <c r="C24" s="10">
        <f ca="1">Февраль!$E$24</f>
        <v>64774</v>
      </c>
      <c r="D24" s="10">
        <f ca="1">Март!$E$24</f>
        <v>53767</v>
      </c>
      <c r="E24" s="10">
        <f ca="1">Апрель!$E$24</f>
        <v>67530</v>
      </c>
      <c r="F24" s="10">
        <f ca="1">Май!$E$24</f>
        <v>67145</v>
      </c>
      <c r="G24" s="10">
        <f ca="1">Июнь!$E$24</f>
        <v>59240</v>
      </c>
      <c r="H24" s="10">
        <f ca="1">Июль!$E$24</f>
        <v>60517</v>
      </c>
      <c r="I24" s="10">
        <f ca="1">Август!$E$24</f>
        <v>64862</v>
      </c>
      <c r="J24" s="10">
        <f ca="1">Сентябрь!$E$24</f>
        <v>65462</v>
      </c>
      <c r="K24" s="10">
        <f ca="1">Октябрь!$E$24</f>
        <v>59377</v>
      </c>
      <c r="L24" s="10">
        <f ca="1">Ноябрь!$E$24</f>
        <v>52580</v>
      </c>
      <c r="M24" s="10">
        <f ca="1">Декабрь!$E$24</f>
        <v>57908</v>
      </c>
      <c r="N24" s="8">
        <f ca="1" t="shared" si="0"/>
        <v>736645</v>
      </c>
    </row>
    <row r="25" spans="1:14">
      <c r="A25" s="9" t="str">
        <f>Январь!$A$25</f>
        <v>Тарасова Валерия Романовна</v>
      </c>
      <c r="B25" s="10">
        <f ca="1">Январь!$E$25</f>
        <v>47559</v>
      </c>
      <c r="C25" s="10">
        <f ca="1">Февраль!$E$25</f>
        <v>43288</v>
      </c>
      <c r="D25" s="10">
        <f ca="1">Март!$E$25</f>
        <v>44952</v>
      </c>
      <c r="E25" s="10">
        <f ca="1">Апрель!$E$25</f>
        <v>34678</v>
      </c>
      <c r="F25" s="10">
        <f ca="1">Май!$E$25</f>
        <v>50922</v>
      </c>
      <c r="G25" s="10">
        <f ca="1">Июнь!$E$25</f>
        <v>49760</v>
      </c>
      <c r="H25" s="10">
        <f ca="1">Июль!$E$25</f>
        <v>46354</v>
      </c>
      <c r="I25" s="10">
        <f ca="1">Август!$E$25</f>
        <v>46895</v>
      </c>
      <c r="J25" s="10">
        <f ca="1">Сентябрь!$E$25</f>
        <v>37787</v>
      </c>
      <c r="K25" s="10">
        <f ca="1">Октябрь!$E$25</f>
        <v>34983</v>
      </c>
      <c r="L25" s="10">
        <f ca="1">Ноябрь!$E$25</f>
        <v>45782</v>
      </c>
      <c r="M25" s="10">
        <f ca="1">Декабрь!$E$25</f>
        <v>38466</v>
      </c>
      <c r="N25" s="8">
        <f ca="1" t="shared" si="0"/>
        <v>521426</v>
      </c>
    </row>
    <row r="26" spans="1:14">
      <c r="A26" s="9" t="str">
        <f>Январь!$A$26</f>
        <v>Белов Глеб Максимович</v>
      </c>
      <c r="B26" s="10">
        <f ca="1">Январь!$E$26</f>
        <v>43896</v>
      </c>
      <c r="C26" s="10">
        <f ca="1">Февраль!$E$26</f>
        <v>38185</v>
      </c>
      <c r="D26" s="10">
        <f ca="1">Март!$E$26</f>
        <v>31606</v>
      </c>
      <c r="E26" s="10">
        <f ca="1">Апрель!$E$26</f>
        <v>33498</v>
      </c>
      <c r="F26" s="10">
        <f ca="1">Май!$E$26</f>
        <v>36538</v>
      </c>
      <c r="G26" s="10">
        <f ca="1">Июнь!$E$26</f>
        <v>42870</v>
      </c>
      <c r="H26" s="10">
        <f ca="1">Июль!$E$26</f>
        <v>47014</v>
      </c>
      <c r="I26" s="10">
        <f ca="1">Август!$E$26</f>
        <v>37755</v>
      </c>
      <c r="J26" s="10">
        <f ca="1">Сентябрь!$E$26</f>
        <v>41903</v>
      </c>
      <c r="K26" s="10">
        <f ca="1">Октябрь!$E$26</f>
        <v>34190</v>
      </c>
      <c r="L26" s="10">
        <f ca="1">Ноябрь!$E$26</f>
        <v>38387</v>
      </c>
      <c r="M26" s="10">
        <f ca="1">Декабрь!$E$26</f>
        <v>45634</v>
      </c>
      <c r="N26" s="8">
        <f ca="1" t="shared" si="0"/>
        <v>471476</v>
      </c>
    </row>
    <row r="27" spans="1:14">
      <c r="A27" s="9" t="str">
        <f>Январь!$A$27</f>
        <v>Комарова Полина Алексеевна</v>
      </c>
      <c r="B27" s="10">
        <f ca="1">Январь!$E$27</f>
        <v>32395</v>
      </c>
      <c r="C27" s="10">
        <f ca="1">Февраль!$E$27</f>
        <v>41284</v>
      </c>
      <c r="D27" s="10">
        <f ca="1">Март!$E$27</f>
        <v>35101</v>
      </c>
      <c r="E27" s="10">
        <f ca="1">Апрель!$E$27</f>
        <v>34306</v>
      </c>
      <c r="F27" s="10">
        <f ca="1">Май!$E$27</f>
        <v>37588</v>
      </c>
      <c r="G27" s="10">
        <f ca="1">Июнь!$E$27</f>
        <v>26956</v>
      </c>
      <c r="H27" s="10">
        <f ca="1">Июль!$E$27</f>
        <v>35712</v>
      </c>
      <c r="I27" s="10">
        <f ca="1">Август!$E$27</f>
        <v>33717</v>
      </c>
      <c r="J27" s="10">
        <f ca="1">Сентябрь!$E$27</f>
        <v>39647</v>
      </c>
      <c r="K27" s="10">
        <f ca="1">Октябрь!$E$27</f>
        <v>41120</v>
      </c>
      <c r="L27" s="10">
        <f ca="1">Ноябрь!$E$27</f>
        <v>36119</v>
      </c>
      <c r="M27" s="10">
        <f ca="1">Декабрь!$E$27</f>
        <v>27263</v>
      </c>
      <c r="N27" s="8">
        <f ca="1" t="shared" si="0"/>
        <v>421208</v>
      </c>
    </row>
    <row r="28" spans="1:14">
      <c r="A28" s="9" t="str">
        <f>Январь!$A$28</f>
        <v>Орлов Владислав Станиславович</v>
      </c>
      <c r="B28" s="10">
        <f ca="1">Январь!$E$28</f>
        <v>57609</v>
      </c>
      <c r="C28" s="10">
        <f ca="1">Февраль!$E$28</f>
        <v>59457</v>
      </c>
      <c r="D28" s="10">
        <f ca="1">Март!$E$28</f>
        <v>59657</v>
      </c>
      <c r="E28" s="10">
        <f ca="1">Апрель!$E$28</f>
        <v>62266</v>
      </c>
      <c r="F28" s="10">
        <f ca="1">Май!$E$28</f>
        <v>62128</v>
      </c>
      <c r="G28" s="10">
        <f ca="1">Июнь!$E$28</f>
        <v>57218</v>
      </c>
      <c r="H28" s="10">
        <f ca="1">Июль!$E$28</f>
        <v>61184</v>
      </c>
      <c r="I28" s="10">
        <f ca="1">Август!$E$28</f>
        <v>62648</v>
      </c>
      <c r="J28" s="10">
        <f ca="1">Сентябрь!$E$28</f>
        <v>58875</v>
      </c>
      <c r="K28" s="10">
        <f ca="1">Октябрь!$E$28</f>
        <v>55334</v>
      </c>
      <c r="L28" s="10">
        <f ca="1">Ноябрь!$E$28</f>
        <v>63215</v>
      </c>
      <c r="M28" s="10">
        <f ca="1">Декабрь!$E$28</f>
        <v>57483</v>
      </c>
      <c r="N28" s="8">
        <f ca="1" t="shared" si="0"/>
        <v>717074</v>
      </c>
    </row>
    <row r="29" spans="1:14">
      <c r="A29" s="9" t="str">
        <f>Январь!$A$29</f>
        <v>Киселёва Надежда Петровна</v>
      </c>
      <c r="B29" s="10">
        <f ca="1">Январь!$E$29</f>
        <v>32745</v>
      </c>
      <c r="C29" s="10">
        <f ca="1">Февраль!$E$29</f>
        <v>34437</v>
      </c>
      <c r="D29" s="10">
        <f ca="1">Март!$E$29</f>
        <v>30163</v>
      </c>
      <c r="E29" s="10">
        <f ca="1">Апрель!$E$29</f>
        <v>33175</v>
      </c>
      <c r="F29" s="10">
        <f ca="1">Май!$E$29</f>
        <v>35767</v>
      </c>
      <c r="G29" s="10">
        <f ca="1">Июнь!$E$29</f>
        <v>24997</v>
      </c>
      <c r="H29" s="10">
        <f ca="1">Июль!$E$29</f>
        <v>32062</v>
      </c>
      <c r="I29" s="10">
        <f ca="1">Август!$E$29</f>
        <v>29902</v>
      </c>
      <c r="J29" s="10">
        <f ca="1">Сентябрь!$E$29</f>
        <v>31374</v>
      </c>
      <c r="K29" s="10">
        <f ca="1">Октябрь!$E$29</f>
        <v>33427</v>
      </c>
      <c r="L29" s="10">
        <f ca="1">Ноябрь!$E$29</f>
        <v>33553</v>
      </c>
      <c r="M29" s="10">
        <f ca="1">Декабрь!$E$29</f>
        <v>29875</v>
      </c>
      <c r="N29" s="8">
        <f ca="1" t="shared" si="0"/>
        <v>381477</v>
      </c>
    </row>
    <row r="30" spans="1:14">
      <c r="A30" s="9" t="str">
        <f>Январь!$A$30</f>
        <v>Макаров Тимур Русланович</v>
      </c>
      <c r="B30" s="10">
        <f ca="1">Январь!$E$30</f>
        <v>33617</v>
      </c>
      <c r="C30" s="10">
        <f ca="1">Февраль!$E$30</f>
        <v>40333</v>
      </c>
      <c r="D30" s="10">
        <f ca="1">Март!$E$30</f>
        <v>40950</v>
      </c>
      <c r="E30" s="10">
        <f ca="1">Апрель!$E$30</f>
        <v>37694</v>
      </c>
      <c r="F30" s="10">
        <f ca="1">Май!$E$30</f>
        <v>32468</v>
      </c>
      <c r="G30" s="10">
        <f ca="1">Июнь!$E$30</f>
        <v>39387</v>
      </c>
      <c r="H30" s="10">
        <f ca="1">Июль!$E$30</f>
        <v>31518</v>
      </c>
      <c r="I30" s="10">
        <f ca="1">Август!$E$30</f>
        <v>35706</v>
      </c>
      <c r="J30" s="10">
        <f ca="1">Сентябрь!$E$30</f>
        <v>32842</v>
      </c>
      <c r="K30" s="10">
        <f ca="1">Октябрь!$E$30</f>
        <v>27677</v>
      </c>
      <c r="L30" s="10">
        <f ca="1">Ноябрь!$E$30</f>
        <v>27657</v>
      </c>
      <c r="M30" s="10">
        <f ca="1">Декабрь!$E$30</f>
        <v>32712</v>
      </c>
      <c r="N30" s="8">
        <f ca="1" t="shared" si="0"/>
        <v>412561</v>
      </c>
    </row>
    <row r="31" spans="1:14">
      <c r="A31" s="9" t="str">
        <f>Январь!$A$31</f>
        <v>Андреева Вероника Дмитриевна</v>
      </c>
      <c r="B31" s="10">
        <f ca="1">Январь!$E$31</f>
        <v>63969</v>
      </c>
      <c r="C31" s="10">
        <f ca="1">Февраль!$E$31</f>
        <v>55377</v>
      </c>
      <c r="D31" s="10">
        <f ca="1">Март!$E$31</f>
        <v>52667</v>
      </c>
      <c r="E31" s="10">
        <f ca="1">Апрель!$E$31</f>
        <v>59918</v>
      </c>
      <c r="F31" s="10">
        <f ca="1">Май!$E$31</f>
        <v>58055</v>
      </c>
      <c r="G31" s="10">
        <f ca="1">Июнь!$E$31</f>
        <v>55806</v>
      </c>
      <c r="H31" s="10">
        <f ca="1">Июль!$E$31</f>
        <v>53368</v>
      </c>
      <c r="I31" s="10">
        <f ca="1">Август!$E$31</f>
        <v>62652</v>
      </c>
      <c r="J31" s="10">
        <f ca="1">Сентябрь!$E$31</f>
        <v>69214</v>
      </c>
      <c r="K31" s="10">
        <f ca="1">Октябрь!$E$31</f>
        <v>59069</v>
      </c>
      <c r="L31" s="10">
        <f ca="1">Ноябрь!$E$31</f>
        <v>59650</v>
      </c>
      <c r="M31" s="10">
        <f ca="1">Декабрь!$E$31</f>
        <v>55713</v>
      </c>
      <c r="N31" s="8">
        <f ca="1" t="shared" si="0"/>
        <v>705458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6"/>
  <cols>
    <col min="1" max="1" width="34" customWidth="1"/>
    <col min="2" max="2" width="16" customWidth="1"/>
    <col min="3" max="3" width="22" customWidth="1"/>
    <col min="5" max="5" width="14" customWidth="1"/>
    <col min="7" max="7" width="22" customWidth="1"/>
  </cols>
  <sheetData>
    <row r="1" ht="31.5" customHeight="1" spans="1:7">
      <c r="A1" s="1" t="s">
        <v>0</v>
      </c>
      <c r="B1" s="1" t="s">
        <v>52</v>
      </c>
      <c r="C1" s="1" t="s">
        <v>54</v>
      </c>
      <c r="E1" s="1" t="s">
        <v>55</v>
      </c>
      <c r="G1" s="1" t="s">
        <v>56</v>
      </c>
    </row>
    <row r="2" spans="1:7">
      <c r="A2" s="2" t="str">
        <f ca="1">INDEX(Год!$A$2:$A$31,MATCH(LARGE($G$2:$G$31,ROW()-1),$G$2:$G$31,0))</f>
        <v>Лебедева Ольга Николаевна</v>
      </c>
      <c r="B2" s="3">
        <f ca="1" t="shared" ref="B2:B31" si="0">INT(LARGE($G$2:$G$31,ROW()-1))</f>
        <v>747628</v>
      </c>
      <c r="C2" s="3">
        <f ca="1" t="shared" ref="C2:C31" si="1">B2*$E$2</f>
        <v>97191.64</v>
      </c>
      <c r="E2" s="4">
        <v>0.13</v>
      </c>
      <c r="G2" s="5">
        <f ca="1">Год!$N$2+ROW()/1000000</f>
        <v>469203.000002</v>
      </c>
    </row>
    <row r="3" spans="1:7">
      <c r="A3" s="2" t="str">
        <f ca="1">INDEX(Год!$A$2:$A$31,MATCH(LARGE($G$2:$G$31,ROW()-1),$G$2:$G$31,0))</f>
        <v>Беляев Антон Николаевич</v>
      </c>
      <c r="B3" s="3">
        <f ca="1" t="shared" si="0"/>
        <v>736645</v>
      </c>
      <c r="C3" s="3">
        <f ca="1" t="shared" si="1"/>
        <v>95763.85</v>
      </c>
      <c r="G3" s="5">
        <f ca="1">Год!$N$3+ROW()/1000000</f>
        <v>368578.000003</v>
      </c>
    </row>
    <row r="4" spans="1:7">
      <c r="A4" s="2" t="str">
        <f ca="1">INDEX(Год!$A$2:$A$31,MATCH(LARGE($G$2:$G$31,ROW()-1),$G$2:$G$31,0))</f>
        <v>Волков Никита Александрович</v>
      </c>
      <c r="B4" s="3">
        <f ca="1" t="shared" si="0"/>
        <v>728401</v>
      </c>
      <c r="C4" s="3">
        <f ca="1" t="shared" si="1"/>
        <v>94692.13</v>
      </c>
      <c r="E4" s="6" t="s">
        <v>57</v>
      </c>
      <c r="G4" s="5">
        <f ca="1">Год!$N$4+ROW()/1000000</f>
        <v>726530.000004</v>
      </c>
    </row>
    <row r="5" spans="1:7">
      <c r="A5" s="2" t="str">
        <f ca="1">INDEX(Год!$A$2:$A$31,MATCH(LARGE($G$2:$G$31,ROW()-1),$G$2:$G$31,0))</f>
        <v>Кузнецов Дмитрий Сергеевич</v>
      </c>
      <c r="B5" s="3">
        <f ca="1" t="shared" si="0"/>
        <v>726530</v>
      </c>
      <c r="C5" s="3">
        <f ca="1" t="shared" si="1"/>
        <v>94448.9</v>
      </c>
      <c r="G5" s="5">
        <f ca="1">Год!$N$5+ROW()/1000000</f>
        <v>495351.000005</v>
      </c>
    </row>
    <row r="6" spans="1:7">
      <c r="A6" s="2" t="str">
        <f ca="1">INDEX(Год!$A$2:$A$31,MATCH(LARGE($G$2:$G$31,ROW()-1),$G$2:$G$31,0))</f>
        <v>Новикова Мария Олеговна</v>
      </c>
      <c r="B6" s="3">
        <f ca="1" t="shared" si="0"/>
        <v>722596</v>
      </c>
      <c r="C6" s="3">
        <f ca="1" t="shared" si="1"/>
        <v>93937.48</v>
      </c>
      <c r="G6" s="5">
        <f ca="1">Год!$N$6+ROW()/1000000</f>
        <v>485518.000006</v>
      </c>
    </row>
    <row r="7" spans="1:7">
      <c r="A7" s="2" t="str">
        <f ca="1">INDEX(Год!$A$2:$A$31,MATCH(LARGE($G$2:$G$31,ROW()-1),$G$2:$G$31,0))</f>
        <v>Васильев Кирилл Евгеньевич</v>
      </c>
      <c r="B7" s="3">
        <f ca="1" t="shared" si="0"/>
        <v>720950</v>
      </c>
      <c r="C7" s="3">
        <f ca="1" t="shared" si="1"/>
        <v>93723.5</v>
      </c>
      <c r="G7" s="5">
        <f ca="1">Год!$N$7+ROW()/1000000</f>
        <v>747628.000007</v>
      </c>
    </row>
    <row r="8" spans="1:7">
      <c r="A8" s="2" t="str">
        <f ca="1">INDEX(Год!$A$2:$A$31,MATCH(LARGE($G$2:$G$31,ROW()-1),$G$2:$G$31,0))</f>
        <v>Виноградова Юлия Сергеевна</v>
      </c>
      <c r="B8" s="3">
        <f ca="1" t="shared" si="0"/>
        <v>717373</v>
      </c>
      <c r="C8" s="3">
        <f ca="1" t="shared" si="1"/>
        <v>93258.49</v>
      </c>
      <c r="G8" s="5">
        <f ca="1">Год!$N$8+ROW()/1000000</f>
        <v>531898.000008</v>
      </c>
    </row>
    <row r="9" spans="1:7">
      <c r="A9" s="2" t="str">
        <f ca="1">INDEX(Год!$A$2:$A$31,MATCH(LARGE($G$2:$G$31,ROW()-1),$G$2:$G$31,0))</f>
        <v>Орлов Владислав Станиславович</v>
      </c>
      <c r="B9" s="3">
        <f ca="1" t="shared" si="0"/>
        <v>717074</v>
      </c>
      <c r="C9" s="3">
        <f ca="1" t="shared" si="1"/>
        <v>93219.62</v>
      </c>
      <c r="G9" s="5">
        <f ca="1">Год!$N$9+ROW()/1000000</f>
        <v>722596.000009</v>
      </c>
    </row>
    <row r="10" spans="1:7">
      <c r="A10" s="2" t="str">
        <f ca="1">INDEX(Год!$A$2:$A$31,MATCH(LARGE($G$2:$G$31,ROW()-1),$G$2:$G$31,0))</f>
        <v>Андреева Вероника Дмитриевна</v>
      </c>
      <c r="B10" s="3">
        <f ca="1" t="shared" si="0"/>
        <v>705458</v>
      </c>
      <c r="C10" s="3">
        <f ca="1" t="shared" si="1"/>
        <v>91709.54</v>
      </c>
      <c r="G10" s="5">
        <f ca="1">Год!$N$10+ROW()/1000000</f>
        <v>518274.00001</v>
      </c>
    </row>
    <row r="11" spans="1:7">
      <c r="A11" s="2" t="str">
        <f ca="1">INDEX(Год!$A$2:$A$31,MATCH(LARGE($G$2:$G$31,ROW()-1),$G$2:$G$31,0))</f>
        <v>Козлов Артём Романович</v>
      </c>
      <c r="B11" s="3">
        <f ca="1" t="shared" si="0"/>
        <v>531898</v>
      </c>
      <c r="C11" s="3">
        <f ca="1" t="shared" si="1"/>
        <v>69146.74</v>
      </c>
      <c r="G11" s="5">
        <f ca="1">Год!$N$11+ROW()/1000000</f>
        <v>411226.000011</v>
      </c>
    </row>
    <row r="12" spans="1:7">
      <c r="A12" s="2" t="str">
        <f ca="1">INDEX(Год!$A$2:$A$31,MATCH(LARGE($G$2:$G$31,ROW()-1),$G$2:$G$31,0))</f>
        <v>Тарасова Валерия Романовна</v>
      </c>
      <c r="B12" s="3">
        <f ca="1" t="shared" si="0"/>
        <v>521426</v>
      </c>
      <c r="C12" s="3">
        <f ca="1" t="shared" si="1"/>
        <v>67785.38</v>
      </c>
      <c r="G12" s="5">
        <f ca="1">Год!$N$12+ROW()/1000000</f>
        <v>728401.000012</v>
      </c>
    </row>
    <row r="13" spans="1:7">
      <c r="A13" s="2" t="str">
        <f ca="1">INDEX(Год!$A$2:$A$31,MATCH(LARGE($G$2:$G$31,ROW()-1),$G$2:$G$31,0))</f>
        <v>Морозов Илья Денисович</v>
      </c>
      <c r="B13" s="3">
        <f ca="1" t="shared" si="0"/>
        <v>518274</v>
      </c>
      <c r="C13" s="3">
        <f ca="1" t="shared" si="1"/>
        <v>67375.62</v>
      </c>
      <c r="G13" s="5">
        <f ca="1">Год!$N$13+ROW()/1000000</f>
        <v>497151.000013</v>
      </c>
    </row>
    <row r="14" spans="1:7">
      <c r="A14" s="2" t="str">
        <f ca="1">INDEX(Год!$A$2:$A$31,MATCH(LARGE($G$2:$G$31,ROW()-1),$G$2:$G$31,0))</f>
        <v>Воробьёва Екатерина Андреевна</v>
      </c>
      <c r="B14" s="3">
        <f ca="1" t="shared" si="0"/>
        <v>515052</v>
      </c>
      <c r="C14" s="3">
        <f ca="1" t="shared" si="1"/>
        <v>66956.76</v>
      </c>
      <c r="G14" s="5">
        <f ca="1">Год!$N$14+ROW()/1000000</f>
        <v>720950.000014</v>
      </c>
    </row>
    <row r="15" spans="1:7">
      <c r="A15" s="2" t="str">
        <f ca="1">INDEX(Год!$A$2:$A$31,MATCH(LARGE($G$2:$G$31,ROW()-1),$G$2:$G$31,0))</f>
        <v>Фёдоров Павел Дмитриевич</v>
      </c>
      <c r="B15" s="3">
        <f ca="1" t="shared" si="0"/>
        <v>508359</v>
      </c>
      <c r="C15" s="3">
        <f ca="1" t="shared" si="1"/>
        <v>66086.67</v>
      </c>
      <c r="G15" s="5">
        <f ca="1">Год!$N$15+ROW()/1000000</f>
        <v>416510.000015</v>
      </c>
    </row>
    <row r="16" spans="1:7">
      <c r="A16" s="2" t="str">
        <f ca="1">INDEX(Год!$A$2:$A$31,MATCH(LARGE($G$2:$G$31,ROW()-1),$G$2:$G$31,0))</f>
        <v>Богданов Станислав Олегович</v>
      </c>
      <c r="B16" s="3">
        <f ca="1" t="shared" si="0"/>
        <v>501623</v>
      </c>
      <c r="C16" s="3">
        <f ca="1" t="shared" si="1"/>
        <v>65210.99</v>
      </c>
      <c r="G16" s="5">
        <f ca="1">Год!$N$16+ROW()/1000000</f>
        <v>367415.000016</v>
      </c>
    </row>
    <row r="17" spans="1:7">
      <c r="A17" s="2" t="str">
        <f ca="1">INDEX(Год!$A$2:$A$31,MATCH(LARGE($G$2:$G$31,ROW()-1),$G$2:$G$31,0))</f>
        <v>Соловьёва Дарья Павловна</v>
      </c>
      <c r="B17" s="3">
        <f ca="1" t="shared" si="0"/>
        <v>497151</v>
      </c>
      <c r="C17" s="3">
        <f ca="1" t="shared" si="1"/>
        <v>64629.63</v>
      </c>
      <c r="G17" s="5">
        <f ca="1">Год!$N$17+ROW()/1000000</f>
        <v>427771.000017</v>
      </c>
    </row>
    <row r="18" spans="1:7">
      <c r="A18" s="2" t="str">
        <f ca="1">INDEX(Год!$A$2:$A$31,MATCH(LARGE($G$2:$G$31,ROW()-1),$G$2:$G$31,0))</f>
        <v>Попова Анна Игоревна</v>
      </c>
      <c r="B18" s="3">
        <f ca="1" t="shared" si="0"/>
        <v>495351</v>
      </c>
      <c r="C18" s="3">
        <f ca="1" t="shared" si="1"/>
        <v>64395.63</v>
      </c>
      <c r="G18" s="5">
        <f ca="1">Год!$N$18+ROW()/1000000</f>
        <v>475055.000018</v>
      </c>
    </row>
    <row r="19" spans="1:7">
      <c r="A19" s="2" t="str">
        <f ca="1">INDEX(Год!$A$2:$A$31,MATCH(LARGE($G$2:$G$31,ROW()-1),$G$2:$G$31,0))</f>
        <v>Соколов Максим Андреевич</v>
      </c>
      <c r="B19" s="3">
        <f ca="1" t="shared" si="0"/>
        <v>485518</v>
      </c>
      <c r="C19" s="3">
        <f ca="1" t="shared" si="1"/>
        <v>63117.34</v>
      </c>
      <c r="G19" s="5">
        <f ca="1">Год!$N$19+ROW()/1000000</f>
        <v>717373.000019</v>
      </c>
    </row>
    <row r="20" spans="1:7">
      <c r="A20" s="2" t="str">
        <f ca="1">INDEX(Год!$A$2:$A$31,MATCH(LARGE($G$2:$G$31,ROW()-1),$G$2:$G$31,0))</f>
        <v>Голубев Роман Игоревич</v>
      </c>
      <c r="B20" s="3">
        <f ca="1" t="shared" si="0"/>
        <v>475055</v>
      </c>
      <c r="C20" s="3">
        <f ca="1" t="shared" si="1"/>
        <v>61757.15</v>
      </c>
      <c r="G20" s="5">
        <f ca="1">Год!$N$20+ROW()/1000000</f>
        <v>501623.00002</v>
      </c>
    </row>
    <row r="21" spans="1:7">
      <c r="A21" s="2" t="str">
        <f ca="1">INDEX(Год!$A$2:$A$31,MATCH(LARGE($G$2:$G$31,ROW()-1),$G$2:$G$31,0))</f>
        <v>Белов Глеб Максимович</v>
      </c>
      <c r="B21" s="3">
        <f ca="1" t="shared" si="0"/>
        <v>471476</v>
      </c>
      <c r="C21" s="3">
        <f ca="1" t="shared" si="1"/>
        <v>61291.88</v>
      </c>
      <c r="G21" s="5">
        <f ca="1">Год!$N$21+ROW()/1000000</f>
        <v>515052.000021</v>
      </c>
    </row>
    <row r="22" spans="1:7">
      <c r="A22" s="2" t="str">
        <f ca="1">INDEX(Год!$A$2:$A$31,MATCH(LARGE($G$2:$G$31,ROW()-1),$G$2:$G$31,0))</f>
        <v>Иванов Алексей Петрович</v>
      </c>
      <c r="B22" s="3">
        <f ca="1" t="shared" si="0"/>
        <v>469203</v>
      </c>
      <c r="C22" s="3">
        <f ca="1" t="shared" si="1"/>
        <v>60996.39</v>
      </c>
      <c r="G22" s="5">
        <f ca="1">Год!$N$22+ROW()/1000000</f>
        <v>508359.000022</v>
      </c>
    </row>
    <row r="23" spans="1:7">
      <c r="A23" s="2" t="str">
        <f ca="1">INDEX(Год!$A$2:$A$31,MATCH(LARGE($G$2:$G$31,ROW()-1),$G$2:$G$31,0))</f>
        <v>Семёнова Алина Артёмовна</v>
      </c>
      <c r="B23" s="3">
        <f ca="1" t="shared" si="0"/>
        <v>427771</v>
      </c>
      <c r="C23" s="3">
        <f ca="1" t="shared" si="1"/>
        <v>55610.23</v>
      </c>
      <c r="G23" s="5">
        <f ca="1">Год!$N$23+ROW()/1000000</f>
        <v>427399.000023</v>
      </c>
    </row>
    <row r="24" spans="1:7">
      <c r="A24" s="2" t="str">
        <f ca="1">INDEX(Год!$A$2:$A$31,MATCH(LARGE($G$2:$G$31,ROW()-1),$G$2:$G$31,0))</f>
        <v>Михайлова Светлана Ивановна</v>
      </c>
      <c r="B24" s="3">
        <f ca="1" t="shared" si="0"/>
        <v>427399</v>
      </c>
      <c r="C24" s="3">
        <f ca="1" t="shared" si="1"/>
        <v>55561.87</v>
      </c>
      <c r="G24" s="5">
        <f ca="1">Год!$N$24+ROW()/1000000</f>
        <v>736645.000024</v>
      </c>
    </row>
    <row r="25" spans="1:7">
      <c r="A25" s="2" t="str">
        <f ca="1">INDEX(Год!$A$2:$A$31,MATCH(LARGE($G$2:$G$31,ROW()-1),$G$2:$G$31,0))</f>
        <v>Комарова Полина Алексеевна</v>
      </c>
      <c r="B25" s="3">
        <f ca="1" t="shared" si="0"/>
        <v>421208</v>
      </c>
      <c r="C25" s="3">
        <f ca="1" t="shared" si="1"/>
        <v>54757.04</v>
      </c>
      <c r="G25" s="5">
        <f ca="1">Год!$N$25+ROW()/1000000</f>
        <v>521426.000025</v>
      </c>
    </row>
    <row r="26" spans="1:7">
      <c r="A26" s="2" t="str">
        <f ca="1">INDEX(Год!$A$2:$A$31,MATCH(LARGE($G$2:$G$31,ROW()-1),$G$2:$G$31,0))</f>
        <v>Зайцева Ирина Михайловна</v>
      </c>
      <c r="B26" s="3">
        <f ca="1" t="shared" si="0"/>
        <v>416510</v>
      </c>
      <c r="C26" s="3">
        <f ca="1" t="shared" si="1"/>
        <v>54146.3</v>
      </c>
      <c r="G26" s="5">
        <f ca="1">Год!$N$26+ROW()/1000000</f>
        <v>471476.000026</v>
      </c>
    </row>
    <row r="27" spans="1:7">
      <c r="A27" s="2" t="str">
        <f ca="1">INDEX(Год!$A$2:$A$31,MATCH(LARGE($G$2:$G$31,ROW()-1),$G$2:$G$31,0))</f>
        <v>Макаров Тимур Русланович</v>
      </c>
      <c r="B27" s="3">
        <f ca="1" t="shared" si="0"/>
        <v>412561</v>
      </c>
      <c r="C27" s="3">
        <f ca="1" t="shared" si="1"/>
        <v>53632.93</v>
      </c>
      <c r="G27" s="5">
        <f ca="1">Год!$N$27+ROW()/1000000</f>
        <v>421208.000027</v>
      </c>
    </row>
    <row r="28" spans="1:7">
      <c r="A28" s="2" t="str">
        <f ca="1">INDEX(Год!$A$2:$A$31,MATCH(LARGE($G$2:$G$31,ROW()-1),$G$2:$G$31,0))</f>
        <v>Петрова Татьяна Юрьевна</v>
      </c>
      <c r="B28" s="3">
        <f ca="1" t="shared" si="0"/>
        <v>411226</v>
      </c>
      <c r="C28" s="3">
        <f ca="1" t="shared" si="1"/>
        <v>53459.38</v>
      </c>
      <c r="G28" s="5">
        <f ca="1">Год!$N$28+ROW()/1000000</f>
        <v>717074.000028</v>
      </c>
    </row>
    <row r="29" spans="1:7">
      <c r="A29" s="2" t="str">
        <f ca="1">INDEX(Год!$A$2:$A$31,MATCH(LARGE($G$2:$G$31,ROW()-1),$G$2:$G$31,0))</f>
        <v>Киселёва Надежда Петровна</v>
      </c>
      <c r="B29" s="3">
        <f ca="1" t="shared" si="0"/>
        <v>381477</v>
      </c>
      <c r="C29" s="3">
        <f ca="1" t="shared" si="1"/>
        <v>49592.01</v>
      </c>
      <c r="G29" s="5">
        <f ca="1">Год!$N$29+ROW()/1000000</f>
        <v>381477.000029</v>
      </c>
    </row>
    <row r="30" spans="1:7">
      <c r="A30" s="2" t="str">
        <f ca="1">INDEX(Год!$A$2:$A$31,MATCH(LARGE($G$2:$G$31,ROW()-1),$G$2:$G$31,0))</f>
        <v>Смирнова Елена Викторовна</v>
      </c>
      <c r="B30" s="3">
        <f ca="1" t="shared" si="0"/>
        <v>368578</v>
      </c>
      <c r="C30" s="3">
        <f ca="1" t="shared" si="1"/>
        <v>47915.14</v>
      </c>
      <c r="G30" s="5">
        <f ca="1">Год!$N$30+ROW()/1000000</f>
        <v>412561.00003</v>
      </c>
    </row>
    <row r="31" spans="1:7">
      <c r="A31" s="2" t="str">
        <f ca="1">INDEX(Год!$A$2:$A$31,MATCH(LARGE($G$2:$G$31,ROW()-1),$G$2:$G$31,0))</f>
        <v>Павлов Егор Владимирович</v>
      </c>
      <c r="B31" s="3">
        <f ca="1" t="shared" si="0"/>
        <v>367415</v>
      </c>
      <c r="C31" s="3">
        <f ca="1" t="shared" si="1"/>
        <v>47763.95</v>
      </c>
      <c r="G31" s="5">
        <f ca="1">Год!$N$31+ROW()/1000000</f>
        <v>705458.000031</v>
      </c>
    </row>
    <row r="32" spans="1:7">
      <c r="A32" s="7" t="s">
        <v>58</v>
      </c>
      <c r="B32" s="8">
        <f ca="1">SUM(B2:B31)</f>
        <v>16147186</v>
      </c>
      <c r="C32" s="8">
        <f ca="1">SUM(C2:C31)</f>
        <v>2099134.18</v>
      </c>
    </row>
  </sheetData>
  <autoFilter xmlns:etc="http://www.wps.cn/officeDocument/2017/etCustomData" ref="A1:C32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Год</vt:lpstr>
      <vt:lpstr>Налоги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igorc</cp:lastModifiedBy>
  <cp:revision>1</cp:revision>
  <dcterms:created xsi:type="dcterms:W3CDTF">2026-10-25T15:42:00Z</dcterms:created>
  <dcterms:modified xsi:type="dcterms:W3CDTF">2026-10-25T15:52:22Z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AA6654ECFBC34547AFD2DD5057F0BF85_13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